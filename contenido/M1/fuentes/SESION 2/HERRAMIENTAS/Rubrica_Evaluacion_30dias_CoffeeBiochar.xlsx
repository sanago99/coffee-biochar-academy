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santimartinez/Documents/PLAN DE FORMACION/MODULO 1/SESION 2/"/>
    </mc:Choice>
  </mc:AlternateContent>
  <xr:revisionPtr revIDLastSave="0" documentId="8_{6C83BC51-8D42-1B4C-B5B9-3DD478AEFFFB}" xr6:coauthVersionLast="47" xr6:coauthVersionMax="47" xr10:uidLastSave="{00000000-0000-0000-0000-000000000000}"/>
  <bookViews>
    <workbookView xWindow="0" yWindow="660" windowWidth="16380" windowHeight="8200" tabRatio="500" xr2:uid="{00000000-000D-0000-FFFF-FFFF00000000}"/>
  </bookViews>
  <sheets>
    <sheet name="RÚBRICA" sheetId="1" r:id="rId1"/>
    <sheet name="CALIFICACIÓN" sheetId="2" r:id="rId2"/>
    <sheet name="HISTÓRICO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9" i="3" l="1"/>
  <c r="M19" i="3" s="1"/>
  <c r="L18" i="3"/>
  <c r="M18" i="3" s="1"/>
  <c r="M17" i="3"/>
  <c r="L17" i="3"/>
  <c r="L16" i="3"/>
  <c r="M16" i="3" s="1"/>
  <c r="L15" i="3"/>
  <c r="M15" i="3" s="1"/>
  <c r="L14" i="3"/>
  <c r="M14" i="3" s="1"/>
  <c r="L13" i="3"/>
  <c r="M13" i="3" s="1"/>
  <c r="L12" i="3"/>
  <c r="M12" i="3" s="1"/>
  <c r="L11" i="3"/>
  <c r="M11" i="3" s="1"/>
  <c r="L10" i="3"/>
  <c r="M10" i="3" s="1"/>
  <c r="L9" i="3"/>
  <c r="M9" i="3" s="1"/>
  <c r="L8" i="3"/>
  <c r="M8" i="3" s="1"/>
  <c r="L7" i="3"/>
  <c r="M7" i="3" s="1"/>
  <c r="L6" i="3"/>
  <c r="M6" i="3" s="1"/>
  <c r="L5" i="3"/>
  <c r="M5" i="3" s="1"/>
  <c r="F13" i="2"/>
  <c r="F12" i="2"/>
  <c r="F11" i="2"/>
  <c r="F10" i="2"/>
  <c r="F9" i="2"/>
  <c r="F8" i="2"/>
  <c r="F7" i="2"/>
  <c r="E15" i="2" s="1"/>
  <c r="G15" i="2" s="1"/>
</calcChain>
</file>

<file path=xl/sharedStrings.xml><?xml version="1.0" encoding="utf-8"?>
<sst xmlns="http://schemas.openxmlformats.org/spreadsheetml/2006/main" count="107" uniqueCount="79">
  <si>
    <t>Coffee Biochar  ·  Rúbrica de Evaluación a 30 Días  ·  Biodiversal SAS BIC × Cirkular Agro</t>
  </si>
  <si>
    <t>Extensionista:</t>
  </si>
  <si>
    <t>Evaluador:</t>
  </si>
  <si>
    <t>Fecha:</t>
  </si>
  <si>
    <t>ID</t>
  </si>
  <si>
    <t>DIMENSIÓN</t>
  </si>
  <si>
    <t>PESO</t>
  </si>
  <si>
    <t>NIVEL 1 — 1 pt</t>
  </si>
  <si>
    <t>NIVEL 2 — 2 pts</t>
  </si>
  <si>
    <t>NIVEL 3 — 3 pts</t>
  </si>
  <si>
    <t>NIVEL 4 — 4 pts</t>
  </si>
  <si>
    <t>PRODUCCIÓN</t>
  </si>
  <si>
    <t>D1</t>
  </si>
  <si>
    <t>Gestión del ritmo de batch</t>
  </si>
  <si>
    <t>25%</t>
  </si>
  <si>
    <t>No calcula el ritmo.</t>
  </si>
  <si>
    <t>Calcula con apoyo.</t>
  </si>
  <si>
    <t>Calcula autónomamente y propone ajustes.</t>
  </si>
  <si>
    <t>Anticipa riesgo antes del día 8.</t>
  </si>
  <si>
    <t>D2</t>
  </si>
  <si>
    <t>Cierre de batch — cumplimiento de meta</t>
  </si>
  <si>
    <t>20%</t>
  </si>
  <si>
    <t>&lt; 80% meta (&lt; 14.800 L)</t>
  </si>
  <si>
    <t>80–94% meta</t>
  </si>
  <si>
    <t>95–99% meta</t>
  </si>
  <si>
    <t>≥ 100% meta (≥ 18.500 L)</t>
  </si>
  <si>
    <t>REGISTRO dMRV</t>
  </si>
  <si>
    <t>D3</t>
  </si>
  <si>
    <t>Completitud y oportunidad del registro</t>
  </si>
  <si>
    <t>&gt; 3 quemas sin registro o &gt; 2 días retraso.</t>
  </si>
  <si>
    <t>1–3 quemas con retraso de 1 día hábil.</t>
  </si>
  <si>
    <t>Todos registros al día o día hábil siguiente.</t>
  </si>
  <si>
    <t>100% registros al día + fotos GPS.</t>
  </si>
  <si>
    <t>D4</t>
  </si>
  <si>
    <t>Calidad y coherencia del dato</t>
  </si>
  <si>
    <t>10%</t>
  </si>
  <si>
    <t>Datos inconsistentes o estimados.</t>
  </si>
  <si>
    <t>Correctos pero sin evidencia en &gt; 30%.</t>
  </si>
  <si>
    <t>Correctos con evidencia en ≥ 70%.</t>
  </si>
  <si>
    <t>Correctos, evidencia completa, sin obs. auditoría.</t>
  </si>
  <si>
    <t>VISITA Y ACOMPAÑAMIENTO</t>
  </si>
  <si>
    <t>D5</t>
  </si>
  <si>
    <t>Visita diaria — 5 momentos</t>
  </si>
  <si>
    <t>15%</t>
  </si>
  <si>
    <t>&lt; 3 momentos ejecutados consistentemente.</t>
  </si>
  <si>
    <t>3–4 momentos. Compromiso sin verificar.</t>
  </si>
  <si>
    <t>5 momentos en ≥ 80% visitas. Compromiso verificado.</t>
  </si>
  <si>
    <t>5 momentos en 100% visitas observadas.</t>
  </si>
  <si>
    <t>D6</t>
  </si>
  <si>
    <t>Retroalimentación con datos</t>
  </si>
  <si>
    <t>Lenguaje de presión, sin datos.</t>
  </si>
  <si>
    <t>Menciona datos sin contexto claro.</t>
  </si>
  <si>
    <t>Estructura: litros → ritmo → pregunta.</t>
  </si>
  <si>
    <t>Productor puede repetir su estado sin consultar.</t>
  </si>
  <si>
    <t>ÉTICA Y ESCALAMIENTO</t>
  </si>
  <si>
    <t>D7</t>
  </si>
  <si>
    <t>Gestión de alertas y escalamiento</t>
  </si>
  <si>
    <t>5%</t>
  </si>
  <si>
    <t>No escala. Resuelve solo.</t>
  </si>
  <si>
    <t>Escala con &gt; 1 día de retraso.</t>
  </si>
  <si>
    <t>Escala el mismo día con datos básicos.</t>
  </si>
  <si>
    <t>Escala el mismo día con datos completos + propuesta.</t>
  </si>
  <si>
    <t>Coffee Biochar  ·  Hoja de Calificación  ·  Evaluación a 30 Días</t>
  </si>
  <si>
    <t>NIVEL ASIGNADO
(1, 2, 3 o 4)</t>
  </si>
  <si>
    <t>PUNTAJE
PONDERADO</t>
  </si>
  <si>
    <t>EVIDENCIA OBSERVADA EN CAMPO</t>
  </si>
  <si>
    <t>PUNTUACIÓN FINAL PONDERADA</t>
  </si>
  <si>
    <t>Máx: 4,00</t>
  </si>
  <si>
    <t>NIVELES DE COMPETENCIA:  ≥ 3,5 = Competente  ·  3,0–3,49 = En desarrollo  ·  &lt; 3,0 = Requiere apoyo intensivo</t>
  </si>
  <si>
    <t>OBSERVACIONES GENERALES DEL EVALUADOR:</t>
  </si>
  <si>
    <t>Firma extensionista:</t>
  </si>
  <si>
    <t>_______________________________</t>
  </si>
  <si>
    <t>Firma líder de clúster:</t>
  </si>
  <si>
    <t>Coffee Biochar  ·  Histórico de Evaluaciones  ·  Cluster</t>
  </si>
  <si>
    <t>EXTENSIONISTA</t>
  </si>
  <si>
    <t>FECHA</t>
  </si>
  <si>
    <t>CLUSTER</t>
  </si>
  <si>
    <t>PUNTAJE FINAL</t>
  </si>
  <si>
    <t>RESULTADO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</si>
</sst>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"/>
    </font>
    <font>
      <b/>
      <i/>
      <sz val="14"/>
      <color rgb="FFFFFFFF"/>
      <name val="Arial"/>
      <family val="2"/>
    </font>
    <font>
      <b/>
      <sz val="9"/>
      <color rgb="FF3E4D58"/>
      <name val="Arial"/>
      <family val="2"/>
    </font>
    <font>
      <sz val="9"/>
      <color rgb="FF3E4D58"/>
      <name val="Arial"/>
      <family val="2"/>
    </font>
    <font>
      <b/>
      <sz val="9"/>
      <color rgb="FFFFFFFF"/>
      <name val="Arial"/>
      <family val="2"/>
    </font>
    <font>
      <b/>
      <sz val="9"/>
      <color rgb="FFA85C38"/>
      <name val="Arial"/>
      <family val="2"/>
    </font>
    <font>
      <sz val="8"/>
      <color rgb="FF5C1A1A"/>
      <name val="Arial"/>
      <family val="2"/>
    </font>
    <font>
      <sz val="8"/>
      <color rgb="FF5C3A00"/>
      <name val="Arial"/>
      <family val="2"/>
    </font>
    <font>
      <sz val="8"/>
      <color rgb="FF0A3D2E"/>
      <name val="Arial"/>
      <family val="2"/>
    </font>
    <font>
      <sz val="8"/>
      <color rgb="FF0A2E1A"/>
      <name val="Arial"/>
      <family val="2"/>
    </font>
    <font>
      <b/>
      <sz val="9"/>
      <color rgb="FF50827C"/>
      <name val="Arial"/>
      <family val="2"/>
    </font>
    <font>
      <b/>
      <sz val="9"/>
      <color rgb="FFCDC4B4"/>
      <name val="Arial"/>
      <family val="2"/>
    </font>
    <font>
      <b/>
      <i/>
      <sz val="13"/>
      <color rgb="FFFFFFFF"/>
      <name val="Arial"/>
      <family val="2"/>
    </font>
    <font>
      <b/>
      <sz val="11"/>
      <color rgb="FFA85C38"/>
      <name val="Arial"/>
      <family val="2"/>
    </font>
    <font>
      <b/>
      <sz val="10"/>
      <color rgb="FF50827C"/>
      <name val="Arial"/>
      <family val="2"/>
    </font>
    <font>
      <b/>
      <sz val="10"/>
      <color rgb="FFFFFFFF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9"/>
      <color rgb="FFCDC4B4"/>
      <name val="Arial"/>
      <family val="2"/>
    </font>
    <font>
      <b/>
      <i/>
      <sz val="12"/>
      <color rgb="FFFFFFFF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3E4D58"/>
        <bgColor rgb="FF333399"/>
      </patternFill>
    </fill>
    <fill>
      <patternFill patternType="solid">
        <fgColor rgb="FFA85C38"/>
        <bgColor rgb="FF8B6914"/>
      </patternFill>
    </fill>
    <fill>
      <patternFill patternType="solid">
        <fgColor rgb="FFF0EDE6"/>
        <bgColor rgb="FFEDE8E0"/>
      </patternFill>
    </fill>
    <fill>
      <patternFill patternType="solid">
        <fgColor rgb="FFFFFFFF"/>
        <bgColor rgb="FFFFFBF0"/>
      </patternFill>
    </fill>
    <fill>
      <patternFill patternType="solid">
        <fgColor rgb="FF8B1A1A"/>
        <bgColor rgb="FF800000"/>
      </patternFill>
    </fill>
    <fill>
      <patternFill patternType="solid">
        <fgColor rgb="FF8B6914"/>
        <bgColor rgb="FFA85C38"/>
      </patternFill>
    </fill>
    <fill>
      <patternFill patternType="solid">
        <fgColor rgb="FF50827C"/>
        <bgColor rgb="FF808080"/>
      </patternFill>
    </fill>
    <fill>
      <patternFill patternType="solid">
        <fgColor rgb="FF1E7B4B"/>
        <bgColor rgb="FF008080"/>
      </patternFill>
    </fill>
    <fill>
      <patternFill patternType="solid">
        <fgColor rgb="FFEDE8E0"/>
        <bgColor rgb="FFF0EDE6"/>
      </patternFill>
    </fill>
    <fill>
      <patternFill patternType="solid">
        <fgColor rgb="FFFFF0F0"/>
        <bgColor rgb="FFFFFBF0"/>
      </patternFill>
    </fill>
    <fill>
      <patternFill patternType="solid">
        <fgColor rgb="FFFFFBF0"/>
        <bgColor rgb="FFFFFFFF"/>
      </patternFill>
    </fill>
    <fill>
      <patternFill patternType="solid">
        <fgColor rgb="FFF0FBF8"/>
        <bgColor rgb="FFF0FFF4"/>
      </patternFill>
    </fill>
    <fill>
      <patternFill patternType="solid">
        <fgColor rgb="FFF0FFF4"/>
        <bgColor rgb="FFF0FBF8"/>
      </patternFill>
    </fill>
    <fill>
      <patternFill patternType="solid">
        <fgColor rgb="FFCDC4B4"/>
        <bgColor rgb="FFCCCCCC"/>
      </patternFill>
    </fill>
    <fill>
      <patternFill patternType="solid">
        <fgColor rgb="FFBDE0D6"/>
        <bgColor rgb="FFCCCCCC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medium">
        <color rgb="FFA85C38"/>
      </top>
      <bottom style="thin">
        <color rgb="FFCCCCCC"/>
      </bottom>
      <diagonal/>
    </border>
    <border>
      <left style="thin">
        <color rgb="FFCCCCCC"/>
      </left>
      <right/>
      <top style="medium">
        <color rgb="FF50827C"/>
      </top>
      <bottom style="thin">
        <color rgb="FFCCCCCC"/>
      </bottom>
      <diagonal/>
    </border>
    <border>
      <left style="thin">
        <color rgb="FFCCCCCC"/>
      </left>
      <right/>
      <top style="medium">
        <color rgb="FF3E4D58"/>
      </top>
      <bottom style="thin">
        <color rgb="FFCCCCCC"/>
      </bottom>
      <diagonal/>
    </border>
    <border>
      <left style="thin">
        <color rgb="FFCCCCCC"/>
      </left>
      <right/>
      <top style="medium">
        <color rgb="FFCDC4B4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A85C38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9" fillId="2" borderId="0" xfId="0" applyFont="1" applyFill="1" applyAlignment="1">
      <alignment horizontal="left" vertical="center"/>
    </xf>
    <xf numFmtId="0" fontId="18" fillId="5" borderId="7" xfId="0" applyFont="1" applyFill="1" applyBorder="1" applyAlignment="1">
      <alignment horizontal="left" vertical="center"/>
    </xf>
    <xf numFmtId="0" fontId="0" fillId="5" borderId="7" xfId="0" applyFill="1" applyBorder="1" applyAlignment="1">
      <alignment horizontal="left" vertical="top" wrapText="1"/>
    </xf>
    <xf numFmtId="0" fontId="0" fillId="0" borderId="0" xfId="0"/>
    <xf numFmtId="0" fontId="3" fillId="4" borderId="7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1" fillId="10" borderId="5" xfId="0" applyFont="1" applyFill="1" applyBorder="1" applyAlignment="1">
      <alignment horizontal="left" vertical="center"/>
    </xf>
    <xf numFmtId="0" fontId="2" fillId="10" borderId="4" xfId="0" applyFont="1" applyFill="1" applyBorder="1" applyAlignment="1">
      <alignment horizontal="left" vertical="center"/>
    </xf>
    <xf numFmtId="0" fontId="10" fillId="10" borderId="3" xfId="0" applyFont="1" applyFill="1" applyBorder="1" applyAlignment="1">
      <alignment horizontal="left" vertical="center"/>
    </xf>
    <xf numFmtId="0" fontId="5" fillId="10" borderId="2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3" borderId="0" xfId="0" applyFill="1"/>
    <xf numFmtId="0" fontId="2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8" fillId="13" borderId="1" xfId="0" applyFont="1" applyFill="1" applyBorder="1" applyAlignment="1">
      <alignment horizontal="left" vertical="center" wrapText="1"/>
    </xf>
    <xf numFmtId="0" fontId="9" fillId="1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9" fontId="5" fillId="4" borderId="1" xfId="0" applyNumberFormat="1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2" fontId="14" fillId="1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9" fontId="5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9" fontId="10" fillId="4" borderId="1" xfId="0" applyNumberFormat="1" applyFont="1" applyFill="1" applyBorder="1" applyAlignment="1">
      <alignment horizontal="center" vertical="center"/>
    </xf>
    <xf numFmtId="9" fontId="10" fillId="5" borderId="1" xfId="0" applyNumberFormat="1" applyFont="1" applyFill="1" applyBorder="1" applyAlignment="1">
      <alignment horizontal="center" vertical="center"/>
    </xf>
    <xf numFmtId="9" fontId="2" fillId="4" borderId="1" xfId="0" applyNumberFormat="1" applyFont="1" applyFill="1" applyBorder="1" applyAlignment="1">
      <alignment horizontal="center" vertical="center"/>
    </xf>
    <xf numFmtId="9" fontId="2" fillId="5" borderId="1" xfId="0" applyNumberFormat="1" applyFont="1" applyFill="1" applyBorder="1" applyAlignment="1">
      <alignment horizontal="center" vertical="center"/>
    </xf>
    <xf numFmtId="9" fontId="11" fillId="4" borderId="1" xfId="0" applyNumberFormat="1" applyFont="1" applyFill="1" applyBorder="1" applyAlignment="1">
      <alignment horizontal="center" vertical="center"/>
    </xf>
    <xf numFmtId="2" fontId="16" fillId="3" borderId="1" xfId="0" applyNumberFormat="1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2" fontId="14" fillId="5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2" fontId="14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5C1A1A"/>
      <rgbColor rgb="FF008000"/>
      <rgbColor rgb="FF000080"/>
      <rgbColor rgb="FF8B6914"/>
      <rgbColor rgb="FF800080"/>
      <rgbColor rgb="FF1E7B4B"/>
      <rgbColor rgb="FFCDC4B4"/>
      <rgbColor rgb="FF808080"/>
      <rgbColor rgb="FF9999FF"/>
      <rgbColor rgb="FFA85C38"/>
      <rgbColor rgb="FFFFFBF0"/>
      <rgbColor rgb="FFF0FFF4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BF8"/>
      <rgbColor rgb="FFBDE0D6"/>
      <rgbColor rgb="FFF0EDE6"/>
      <rgbColor rgb="FFFFF0F0"/>
      <rgbColor rgb="FFFF99CC"/>
      <rgbColor rgb="FFCC99FF"/>
      <rgbColor rgb="FFEDE8E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A3D2E"/>
      <rgbColor rgb="FF50827C"/>
      <rgbColor rgb="FF0A2E1A"/>
      <rgbColor rgb="FF5C3A00"/>
      <rgbColor rgb="FF8B1A1A"/>
      <rgbColor rgb="FF993366"/>
      <rgbColor rgb="FF333399"/>
      <rgbColor rgb="FF3E4D5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7"/>
  <sheetViews>
    <sheetView showGridLines="0" tabSelected="1" topLeftCell="A8" zoomScaleNormal="100" workbookViewId="0"/>
  </sheetViews>
  <sheetFormatPr baseColWidth="10" defaultColWidth="8.6640625" defaultRowHeight="15" x14ac:dyDescent="0.2"/>
  <cols>
    <col min="1" max="1" width="2" customWidth="1"/>
    <col min="2" max="2" width="6" customWidth="1"/>
    <col min="3" max="3" width="28" customWidth="1"/>
    <col min="4" max="4" width="7" customWidth="1"/>
    <col min="5" max="8" width="22" customWidth="1"/>
  </cols>
  <sheetData>
    <row r="1" spans="2:8" ht="7.5" customHeight="1" x14ac:dyDescent="0.2"/>
    <row r="2" spans="2:8" ht="36" customHeight="1" x14ac:dyDescent="0.2">
      <c r="B2" s="13" t="s">
        <v>0</v>
      </c>
      <c r="C2" s="13"/>
      <c r="D2" s="13"/>
      <c r="E2" s="13"/>
      <c r="F2" s="13"/>
      <c r="G2" s="13"/>
      <c r="H2" s="13"/>
    </row>
    <row r="3" spans="2:8" ht="6" customHeight="1" x14ac:dyDescent="0.2">
      <c r="B3" s="14"/>
      <c r="C3" s="14"/>
      <c r="D3" s="14"/>
      <c r="E3" s="14"/>
      <c r="F3" s="14"/>
      <c r="G3" s="14"/>
      <c r="H3" s="14"/>
    </row>
    <row r="4" spans="2:8" ht="21.75" customHeight="1" x14ac:dyDescent="0.2">
      <c r="B4" s="15" t="s">
        <v>1</v>
      </c>
      <c r="C4" s="16"/>
      <c r="D4" s="15" t="s">
        <v>2</v>
      </c>
      <c r="E4" s="16"/>
      <c r="F4" s="15" t="s">
        <v>3</v>
      </c>
      <c r="G4" s="12"/>
      <c r="H4" s="12"/>
    </row>
    <row r="5" spans="2:8" ht="6" customHeight="1" x14ac:dyDescent="0.2"/>
    <row r="6" spans="2:8" ht="27.75" customHeight="1" x14ac:dyDescent="0.2">
      <c r="B6" s="17" t="s">
        <v>4</v>
      </c>
      <c r="C6" s="17" t="s">
        <v>5</v>
      </c>
      <c r="D6" s="17" t="s">
        <v>6</v>
      </c>
      <c r="E6" s="18" t="s">
        <v>7</v>
      </c>
      <c r="F6" s="19" t="s">
        <v>8</v>
      </c>
      <c r="G6" s="20" t="s">
        <v>9</v>
      </c>
      <c r="H6" s="21" t="s">
        <v>10</v>
      </c>
    </row>
    <row r="7" spans="2:8" ht="18" customHeight="1" x14ac:dyDescent="0.2">
      <c r="B7" s="11" t="s">
        <v>11</v>
      </c>
      <c r="C7" s="11"/>
      <c r="D7" s="11"/>
      <c r="E7" s="11"/>
      <c r="F7" s="11"/>
      <c r="G7" s="11"/>
      <c r="H7" s="11"/>
    </row>
    <row r="8" spans="2:8" ht="60" customHeight="1" x14ac:dyDescent="0.2">
      <c r="B8" s="22" t="s">
        <v>12</v>
      </c>
      <c r="C8" s="23" t="s">
        <v>13</v>
      </c>
      <c r="D8" s="24" t="s">
        <v>14</v>
      </c>
      <c r="E8" s="25" t="s">
        <v>15</v>
      </c>
      <c r="F8" s="26" t="s">
        <v>16</v>
      </c>
      <c r="G8" s="27" t="s">
        <v>17</v>
      </c>
      <c r="H8" s="28" t="s">
        <v>18</v>
      </c>
    </row>
    <row r="9" spans="2:8" ht="60" customHeight="1" x14ac:dyDescent="0.2">
      <c r="B9" s="22" t="s">
        <v>19</v>
      </c>
      <c r="C9" s="29" t="s">
        <v>20</v>
      </c>
      <c r="D9" s="30" t="s">
        <v>21</v>
      </c>
      <c r="E9" s="25" t="s">
        <v>22</v>
      </c>
      <c r="F9" s="26" t="s">
        <v>23</v>
      </c>
      <c r="G9" s="27" t="s">
        <v>24</v>
      </c>
      <c r="H9" s="28" t="s">
        <v>25</v>
      </c>
    </row>
    <row r="10" spans="2:8" ht="18" customHeight="1" x14ac:dyDescent="0.2">
      <c r="B10" s="10" t="s">
        <v>26</v>
      </c>
      <c r="C10" s="10"/>
      <c r="D10" s="10"/>
      <c r="E10" s="10"/>
      <c r="F10" s="10"/>
      <c r="G10" s="10"/>
      <c r="H10" s="10"/>
    </row>
    <row r="11" spans="2:8" ht="60" customHeight="1" x14ac:dyDescent="0.2">
      <c r="B11" s="31" t="s">
        <v>27</v>
      </c>
      <c r="C11" s="23" t="s">
        <v>28</v>
      </c>
      <c r="D11" s="32" t="s">
        <v>21</v>
      </c>
      <c r="E11" s="25" t="s">
        <v>29</v>
      </c>
      <c r="F11" s="26" t="s">
        <v>30</v>
      </c>
      <c r="G11" s="27" t="s">
        <v>31</v>
      </c>
      <c r="H11" s="28" t="s">
        <v>32</v>
      </c>
    </row>
    <row r="12" spans="2:8" ht="60" customHeight="1" x14ac:dyDescent="0.2">
      <c r="B12" s="31" t="s">
        <v>33</v>
      </c>
      <c r="C12" s="29" t="s">
        <v>34</v>
      </c>
      <c r="D12" s="33" t="s">
        <v>35</v>
      </c>
      <c r="E12" s="25" t="s">
        <v>36</v>
      </c>
      <c r="F12" s="26" t="s">
        <v>37</v>
      </c>
      <c r="G12" s="27" t="s">
        <v>38</v>
      </c>
      <c r="H12" s="28" t="s">
        <v>39</v>
      </c>
    </row>
    <row r="13" spans="2:8" ht="18" customHeight="1" x14ac:dyDescent="0.2">
      <c r="B13" s="9" t="s">
        <v>40</v>
      </c>
      <c r="C13" s="9"/>
      <c r="D13" s="9"/>
      <c r="E13" s="9"/>
      <c r="F13" s="9"/>
      <c r="G13" s="9"/>
      <c r="H13" s="9"/>
    </row>
    <row r="14" spans="2:8" ht="60" customHeight="1" x14ac:dyDescent="0.2">
      <c r="B14" s="34" t="s">
        <v>41</v>
      </c>
      <c r="C14" s="23" t="s">
        <v>42</v>
      </c>
      <c r="D14" s="35" t="s">
        <v>43</v>
      </c>
      <c r="E14" s="25" t="s">
        <v>44</v>
      </c>
      <c r="F14" s="26" t="s">
        <v>45</v>
      </c>
      <c r="G14" s="27" t="s">
        <v>46</v>
      </c>
      <c r="H14" s="28" t="s">
        <v>47</v>
      </c>
    </row>
    <row r="15" spans="2:8" ht="60" customHeight="1" x14ac:dyDescent="0.2">
      <c r="B15" s="34" t="s">
        <v>48</v>
      </c>
      <c r="C15" s="29" t="s">
        <v>49</v>
      </c>
      <c r="D15" s="36" t="s">
        <v>35</v>
      </c>
      <c r="E15" s="25" t="s">
        <v>50</v>
      </c>
      <c r="F15" s="26" t="s">
        <v>51</v>
      </c>
      <c r="G15" s="27" t="s">
        <v>52</v>
      </c>
      <c r="H15" s="28" t="s">
        <v>53</v>
      </c>
    </row>
    <row r="16" spans="2:8" ht="18" customHeight="1" x14ac:dyDescent="0.2">
      <c r="B16" s="8" t="s">
        <v>54</v>
      </c>
      <c r="C16" s="8"/>
      <c r="D16" s="8"/>
      <c r="E16" s="8"/>
      <c r="F16" s="8"/>
      <c r="G16" s="8"/>
      <c r="H16" s="8"/>
    </row>
    <row r="17" spans="2:8" ht="60" customHeight="1" x14ac:dyDescent="0.2">
      <c r="B17" s="37" t="s">
        <v>55</v>
      </c>
      <c r="C17" s="23" t="s">
        <v>56</v>
      </c>
      <c r="D17" s="38" t="s">
        <v>57</v>
      </c>
      <c r="E17" s="25" t="s">
        <v>58</v>
      </c>
      <c r="F17" s="26" t="s">
        <v>59</v>
      </c>
      <c r="G17" s="27" t="s">
        <v>60</v>
      </c>
      <c r="H17" s="28" t="s">
        <v>61</v>
      </c>
    </row>
  </sheetData>
  <mergeCells count="6">
    <mergeCell ref="B16:H16"/>
    <mergeCell ref="B2:H2"/>
    <mergeCell ref="G4:H4"/>
    <mergeCell ref="B7:H7"/>
    <mergeCell ref="B10:H10"/>
    <mergeCell ref="B13:H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6640625" defaultRowHeight="15" x14ac:dyDescent="0.2"/>
  <cols>
    <col min="1" max="1" width="2" customWidth="1"/>
    <col min="2" max="2" width="6" customWidth="1"/>
    <col min="3" max="3" width="28" customWidth="1"/>
    <col min="4" max="4" width="8" customWidth="1"/>
    <col min="5" max="6" width="10" customWidth="1"/>
    <col min="7" max="7" width="34" customWidth="1"/>
  </cols>
  <sheetData>
    <row r="1" spans="1:7" ht="7.5" customHeight="1" x14ac:dyDescent="0.2"/>
    <row r="2" spans="1:7" ht="31.5" customHeight="1" x14ac:dyDescent="0.2">
      <c r="B2" s="7" t="s">
        <v>62</v>
      </c>
      <c r="C2" s="7"/>
      <c r="D2" s="7"/>
      <c r="E2" s="7"/>
      <c r="F2" s="7"/>
      <c r="G2" s="7"/>
    </row>
    <row r="3" spans="1:7" ht="6" customHeight="1" x14ac:dyDescent="0.2">
      <c r="B3" s="14"/>
      <c r="C3" s="14"/>
      <c r="D3" s="14"/>
      <c r="E3" s="14"/>
      <c r="F3" s="14"/>
      <c r="G3" s="14"/>
    </row>
    <row r="4" spans="1:7" ht="21.75" customHeight="1" x14ac:dyDescent="0.2">
      <c r="A4" s="15" t="s">
        <v>1</v>
      </c>
      <c r="C4" s="16"/>
      <c r="E4" s="16"/>
      <c r="G4" s="16"/>
    </row>
    <row r="5" spans="1:7" ht="6" customHeight="1" x14ac:dyDescent="0.2"/>
    <row r="6" spans="1:7" ht="27.75" customHeight="1" x14ac:dyDescent="0.2">
      <c r="B6" s="17" t="s">
        <v>4</v>
      </c>
      <c r="C6" s="17" t="s">
        <v>5</v>
      </c>
      <c r="D6" s="17" t="s">
        <v>6</v>
      </c>
      <c r="E6" s="17" t="s">
        <v>63</v>
      </c>
      <c r="F6" s="17" t="s">
        <v>64</v>
      </c>
      <c r="G6" s="17" t="s">
        <v>65</v>
      </c>
    </row>
    <row r="7" spans="1:7" ht="43.5" customHeight="1" x14ac:dyDescent="0.2">
      <c r="B7" s="22" t="s">
        <v>12</v>
      </c>
      <c r="C7" s="23" t="s">
        <v>13</v>
      </c>
      <c r="D7" s="39">
        <v>0.25</v>
      </c>
      <c r="E7" s="40"/>
      <c r="F7" s="41">
        <f t="shared" ref="F7:F13" si="0">IF(ISNUMBER(E7),E7*D7,0)</f>
        <v>0</v>
      </c>
      <c r="G7" s="42"/>
    </row>
    <row r="8" spans="1:7" ht="43.5" customHeight="1" x14ac:dyDescent="0.2">
      <c r="B8" s="22" t="s">
        <v>19</v>
      </c>
      <c r="C8" s="29" t="s">
        <v>20</v>
      </c>
      <c r="D8" s="43">
        <v>0.2</v>
      </c>
      <c r="E8" s="40"/>
      <c r="F8" s="41">
        <f t="shared" si="0"/>
        <v>0</v>
      </c>
      <c r="G8" s="44"/>
    </row>
    <row r="9" spans="1:7" ht="43.5" customHeight="1" x14ac:dyDescent="0.2">
      <c r="B9" s="31" t="s">
        <v>27</v>
      </c>
      <c r="C9" s="23" t="s">
        <v>28</v>
      </c>
      <c r="D9" s="45">
        <v>0.2</v>
      </c>
      <c r="E9" s="40"/>
      <c r="F9" s="41">
        <f t="shared" si="0"/>
        <v>0</v>
      </c>
      <c r="G9" s="42"/>
    </row>
    <row r="10" spans="1:7" ht="43.5" customHeight="1" x14ac:dyDescent="0.2">
      <c r="B10" s="31" t="s">
        <v>33</v>
      </c>
      <c r="C10" s="29" t="s">
        <v>34</v>
      </c>
      <c r="D10" s="46">
        <v>0.1</v>
      </c>
      <c r="E10" s="40"/>
      <c r="F10" s="41">
        <f t="shared" si="0"/>
        <v>0</v>
      </c>
      <c r="G10" s="44"/>
    </row>
    <row r="11" spans="1:7" ht="43.5" customHeight="1" x14ac:dyDescent="0.2">
      <c r="B11" s="34" t="s">
        <v>41</v>
      </c>
      <c r="C11" s="23" t="s">
        <v>42</v>
      </c>
      <c r="D11" s="47">
        <v>0.15</v>
      </c>
      <c r="E11" s="40"/>
      <c r="F11" s="41">
        <f t="shared" si="0"/>
        <v>0</v>
      </c>
      <c r="G11" s="42"/>
    </row>
    <row r="12" spans="1:7" ht="43.5" customHeight="1" x14ac:dyDescent="0.2">
      <c r="B12" s="34" t="s">
        <v>48</v>
      </c>
      <c r="C12" s="29" t="s">
        <v>49</v>
      </c>
      <c r="D12" s="48">
        <v>0.1</v>
      </c>
      <c r="E12" s="40"/>
      <c r="F12" s="41">
        <f t="shared" si="0"/>
        <v>0</v>
      </c>
      <c r="G12" s="44"/>
    </row>
    <row r="13" spans="1:7" ht="43.5" customHeight="1" x14ac:dyDescent="0.2">
      <c r="B13" s="37" t="s">
        <v>55</v>
      </c>
      <c r="C13" s="23" t="s">
        <v>56</v>
      </c>
      <c r="D13" s="49">
        <v>0.05</v>
      </c>
      <c r="E13" s="40"/>
      <c r="F13" s="41">
        <f t="shared" si="0"/>
        <v>0</v>
      </c>
      <c r="G13" s="42"/>
    </row>
    <row r="14" spans="1:7" ht="7.5" customHeight="1" x14ac:dyDescent="0.2"/>
    <row r="15" spans="1:7" ht="33.75" customHeight="1" x14ac:dyDescent="0.2">
      <c r="B15" s="6" t="s">
        <v>66</v>
      </c>
      <c r="C15" s="6"/>
      <c r="D15" s="6"/>
      <c r="E15" s="50">
        <f>SUM(F7:F13)</f>
        <v>0</v>
      </c>
      <c r="F15" s="22" t="s">
        <v>67</v>
      </c>
      <c r="G15" s="51" t="str">
        <f>IF(E15&gt;=3.5,"✓ COMPETENTE",IF(E15&gt;=3,"EN DESARROLLO","⚠ REQUIERE APOYO"))</f>
        <v>⚠ REQUIERE APOYO</v>
      </c>
    </row>
    <row r="17" spans="2:7" ht="18" customHeight="1" x14ac:dyDescent="0.2">
      <c r="B17" s="5" t="s">
        <v>68</v>
      </c>
      <c r="C17" s="5"/>
      <c r="D17" s="5"/>
      <c r="E17" s="5"/>
      <c r="F17" s="5"/>
      <c r="G17" s="5"/>
    </row>
    <row r="19" spans="2:7" ht="18" customHeight="1" x14ac:dyDescent="0.2">
      <c r="B19" s="15" t="s">
        <v>69</v>
      </c>
      <c r="C19" s="4"/>
      <c r="D19" s="4"/>
      <c r="E19" s="4"/>
      <c r="F19" s="4"/>
      <c r="G19" s="4"/>
    </row>
    <row r="20" spans="2:7" ht="79.5" customHeight="1" x14ac:dyDescent="0.2">
      <c r="B20" s="3"/>
      <c r="C20" s="3"/>
      <c r="D20" s="3"/>
      <c r="E20" s="3"/>
      <c r="F20" s="3"/>
      <c r="G20" s="3"/>
    </row>
    <row r="22" spans="2:7" ht="21.75" customHeight="1" x14ac:dyDescent="0.2">
      <c r="B22" s="15" t="s">
        <v>70</v>
      </c>
      <c r="C22" s="52" t="s">
        <v>71</v>
      </c>
      <c r="E22" s="15" t="s">
        <v>72</v>
      </c>
      <c r="F22" s="2" t="s">
        <v>71</v>
      </c>
      <c r="G22" s="2"/>
    </row>
  </sheetData>
  <mergeCells count="6">
    <mergeCell ref="F22:G22"/>
    <mergeCell ref="B2:G2"/>
    <mergeCell ref="B15:D15"/>
    <mergeCell ref="B17:G17"/>
    <mergeCell ref="C19:G19"/>
    <mergeCell ref="B20:G20"/>
  </mergeCells>
  <dataValidations count="1">
    <dataValidation type="whole" showErrorMessage="1" errorTitle="Nivel inválido" error="Ingresa un valor entre 1 y 4" sqref="E7:E13" xr:uid="{00000000-0002-0000-0100-000000000000}">
      <formula1>1</formula1>
      <formula2>4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19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2" customWidth="1"/>
    <col min="2" max="2" width="22" customWidth="1"/>
    <col min="3" max="3" width="10" customWidth="1"/>
    <col min="4" max="4" width="12" customWidth="1"/>
    <col min="5" max="11" width="8" customWidth="1"/>
    <col min="12" max="12" width="10" customWidth="1"/>
    <col min="13" max="13" width="14" customWidth="1"/>
  </cols>
  <sheetData>
    <row r="1" spans="2:13" ht="7.5" customHeight="1" x14ac:dyDescent="0.2"/>
    <row r="2" spans="2:13" ht="31.5" customHeight="1" x14ac:dyDescent="0.2">
      <c r="B2" s="1" t="s">
        <v>73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2:13" ht="6" customHeight="1" x14ac:dyDescent="0.2"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2:13" ht="27.75" customHeight="1" x14ac:dyDescent="0.2">
      <c r="B4" s="17" t="s">
        <v>74</v>
      </c>
      <c r="C4" s="17" t="s">
        <v>75</v>
      </c>
      <c r="D4" s="17" t="s">
        <v>76</v>
      </c>
      <c r="E4" s="17" t="s">
        <v>12</v>
      </c>
      <c r="F4" s="17" t="s">
        <v>19</v>
      </c>
      <c r="G4" s="17" t="s">
        <v>27</v>
      </c>
      <c r="H4" s="17" t="s">
        <v>33</v>
      </c>
      <c r="I4" s="17" t="s">
        <v>41</v>
      </c>
      <c r="J4" s="17" t="s">
        <v>48</v>
      </c>
      <c r="K4" s="17" t="s">
        <v>55</v>
      </c>
      <c r="L4" s="17" t="s">
        <v>77</v>
      </c>
      <c r="M4" s="17" t="s">
        <v>78</v>
      </c>
    </row>
    <row r="5" spans="2:13" ht="21.75" customHeight="1" x14ac:dyDescent="0.2">
      <c r="B5" s="16"/>
      <c r="C5" s="16"/>
      <c r="D5" s="16"/>
      <c r="E5" s="53"/>
      <c r="F5" s="53"/>
      <c r="G5" s="53"/>
      <c r="H5" s="53"/>
      <c r="I5" s="53"/>
      <c r="J5" s="53"/>
      <c r="K5" s="53"/>
      <c r="L5" s="54" t="str">
        <f t="shared" ref="L5:L19" si="0">IFERROR(AVERAGE(E5:K5),"")</f>
        <v/>
      </c>
      <c r="M5" s="53" t="str">
        <f t="shared" ref="M5:M19" si="1">IF(L5="","",IF(L5&gt;=3.5,"✓ Competente",IF(L5&gt;=3,"En desarrollo","⚠ Apoyo")))</f>
        <v/>
      </c>
    </row>
    <row r="6" spans="2:13" ht="21.75" customHeight="1" x14ac:dyDescent="0.2">
      <c r="B6" s="55"/>
      <c r="C6" s="55"/>
      <c r="D6" s="55"/>
      <c r="E6" s="56"/>
      <c r="F6" s="56"/>
      <c r="G6" s="56"/>
      <c r="H6" s="56"/>
      <c r="I6" s="56"/>
      <c r="J6" s="56"/>
      <c r="K6" s="56"/>
      <c r="L6" s="57" t="str">
        <f t="shared" si="0"/>
        <v/>
      </c>
      <c r="M6" s="56" t="str">
        <f t="shared" si="1"/>
        <v/>
      </c>
    </row>
    <row r="7" spans="2:13" ht="21.75" customHeight="1" x14ac:dyDescent="0.2">
      <c r="B7" s="16"/>
      <c r="C7" s="16"/>
      <c r="D7" s="16"/>
      <c r="E7" s="53"/>
      <c r="F7" s="53"/>
      <c r="G7" s="53"/>
      <c r="H7" s="53"/>
      <c r="I7" s="53"/>
      <c r="J7" s="53"/>
      <c r="K7" s="53"/>
      <c r="L7" s="54" t="str">
        <f t="shared" si="0"/>
        <v/>
      </c>
      <c r="M7" s="53" t="str">
        <f t="shared" si="1"/>
        <v/>
      </c>
    </row>
    <row r="8" spans="2:13" ht="21.75" customHeight="1" x14ac:dyDescent="0.2">
      <c r="B8" s="55"/>
      <c r="C8" s="55"/>
      <c r="D8" s="55"/>
      <c r="E8" s="56"/>
      <c r="F8" s="56"/>
      <c r="G8" s="56"/>
      <c r="H8" s="56"/>
      <c r="I8" s="56"/>
      <c r="J8" s="56"/>
      <c r="K8" s="56"/>
      <c r="L8" s="57" t="str">
        <f t="shared" si="0"/>
        <v/>
      </c>
      <c r="M8" s="56" t="str">
        <f t="shared" si="1"/>
        <v/>
      </c>
    </row>
    <row r="9" spans="2:13" ht="21.75" customHeight="1" x14ac:dyDescent="0.2">
      <c r="B9" s="16"/>
      <c r="C9" s="16"/>
      <c r="D9" s="16"/>
      <c r="E9" s="53"/>
      <c r="F9" s="53"/>
      <c r="G9" s="53"/>
      <c r="H9" s="53"/>
      <c r="I9" s="53"/>
      <c r="J9" s="53"/>
      <c r="K9" s="53"/>
      <c r="L9" s="54" t="str">
        <f t="shared" si="0"/>
        <v/>
      </c>
      <c r="M9" s="53" t="str">
        <f t="shared" si="1"/>
        <v/>
      </c>
    </row>
    <row r="10" spans="2:13" ht="21.75" customHeight="1" x14ac:dyDescent="0.2">
      <c r="B10" s="55"/>
      <c r="C10" s="55"/>
      <c r="D10" s="55"/>
      <c r="E10" s="56"/>
      <c r="F10" s="56"/>
      <c r="G10" s="56"/>
      <c r="H10" s="56"/>
      <c r="I10" s="56"/>
      <c r="J10" s="56"/>
      <c r="K10" s="56"/>
      <c r="L10" s="57" t="str">
        <f t="shared" si="0"/>
        <v/>
      </c>
      <c r="M10" s="56" t="str">
        <f t="shared" si="1"/>
        <v/>
      </c>
    </row>
    <row r="11" spans="2:13" ht="21.75" customHeight="1" x14ac:dyDescent="0.2">
      <c r="B11" s="16"/>
      <c r="C11" s="16"/>
      <c r="D11" s="16"/>
      <c r="E11" s="53"/>
      <c r="F11" s="53"/>
      <c r="G11" s="53"/>
      <c r="H11" s="53"/>
      <c r="I11" s="53"/>
      <c r="J11" s="53"/>
      <c r="K11" s="53"/>
      <c r="L11" s="54" t="str">
        <f t="shared" si="0"/>
        <v/>
      </c>
      <c r="M11" s="53" t="str">
        <f t="shared" si="1"/>
        <v/>
      </c>
    </row>
    <row r="12" spans="2:13" ht="21.75" customHeight="1" x14ac:dyDescent="0.2">
      <c r="B12" s="55"/>
      <c r="C12" s="55"/>
      <c r="D12" s="55"/>
      <c r="E12" s="56"/>
      <c r="F12" s="56"/>
      <c r="G12" s="56"/>
      <c r="H12" s="56"/>
      <c r="I12" s="56"/>
      <c r="J12" s="56"/>
      <c r="K12" s="56"/>
      <c r="L12" s="57" t="str">
        <f t="shared" si="0"/>
        <v/>
      </c>
      <c r="M12" s="56" t="str">
        <f t="shared" si="1"/>
        <v/>
      </c>
    </row>
    <row r="13" spans="2:13" ht="21.75" customHeight="1" x14ac:dyDescent="0.2">
      <c r="B13" s="16"/>
      <c r="C13" s="16"/>
      <c r="D13" s="16"/>
      <c r="E13" s="53"/>
      <c r="F13" s="53"/>
      <c r="G13" s="53"/>
      <c r="H13" s="53"/>
      <c r="I13" s="53"/>
      <c r="J13" s="53"/>
      <c r="K13" s="53"/>
      <c r="L13" s="54" t="str">
        <f t="shared" si="0"/>
        <v/>
      </c>
      <c r="M13" s="53" t="str">
        <f t="shared" si="1"/>
        <v/>
      </c>
    </row>
    <row r="14" spans="2:13" ht="21.75" customHeight="1" x14ac:dyDescent="0.2">
      <c r="B14" s="55"/>
      <c r="C14" s="55"/>
      <c r="D14" s="55"/>
      <c r="E14" s="56"/>
      <c r="F14" s="56"/>
      <c r="G14" s="56"/>
      <c r="H14" s="56"/>
      <c r="I14" s="56"/>
      <c r="J14" s="56"/>
      <c r="K14" s="56"/>
      <c r="L14" s="57" t="str">
        <f t="shared" si="0"/>
        <v/>
      </c>
      <c r="M14" s="56" t="str">
        <f t="shared" si="1"/>
        <v/>
      </c>
    </row>
    <row r="15" spans="2:13" ht="21.75" customHeight="1" x14ac:dyDescent="0.2">
      <c r="B15" s="16"/>
      <c r="C15" s="16"/>
      <c r="D15" s="16"/>
      <c r="E15" s="53"/>
      <c r="F15" s="53"/>
      <c r="G15" s="53"/>
      <c r="H15" s="53"/>
      <c r="I15" s="53"/>
      <c r="J15" s="53"/>
      <c r="K15" s="53"/>
      <c r="L15" s="54" t="str">
        <f t="shared" si="0"/>
        <v/>
      </c>
      <c r="M15" s="53" t="str">
        <f t="shared" si="1"/>
        <v/>
      </c>
    </row>
    <row r="16" spans="2:13" ht="21.75" customHeight="1" x14ac:dyDescent="0.2">
      <c r="B16" s="55"/>
      <c r="C16" s="55"/>
      <c r="D16" s="55"/>
      <c r="E16" s="56"/>
      <c r="F16" s="56"/>
      <c r="G16" s="56"/>
      <c r="H16" s="56"/>
      <c r="I16" s="56"/>
      <c r="J16" s="56"/>
      <c r="K16" s="56"/>
      <c r="L16" s="57" t="str">
        <f t="shared" si="0"/>
        <v/>
      </c>
      <c r="M16" s="56" t="str">
        <f t="shared" si="1"/>
        <v/>
      </c>
    </row>
    <row r="17" spans="2:13" ht="21.75" customHeight="1" x14ac:dyDescent="0.2">
      <c r="B17" s="16"/>
      <c r="C17" s="16"/>
      <c r="D17" s="16"/>
      <c r="E17" s="53"/>
      <c r="F17" s="53"/>
      <c r="G17" s="53"/>
      <c r="H17" s="53"/>
      <c r="I17" s="53"/>
      <c r="J17" s="53"/>
      <c r="K17" s="53"/>
      <c r="L17" s="54" t="str">
        <f t="shared" si="0"/>
        <v/>
      </c>
      <c r="M17" s="53" t="str">
        <f t="shared" si="1"/>
        <v/>
      </c>
    </row>
    <row r="18" spans="2:13" ht="21.75" customHeight="1" x14ac:dyDescent="0.2">
      <c r="B18" s="55"/>
      <c r="C18" s="55"/>
      <c r="D18" s="55"/>
      <c r="E18" s="56"/>
      <c r="F18" s="56"/>
      <c r="G18" s="56"/>
      <c r="H18" s="56"/>
      <c r="I18" s="56"/>
      <c r="J18" s="56"/>
      <c r="K18" s="56"/>
      <c r="L18" s="57" t="str">
        <f t="shared" si="0"/>
        <v/>
      </c>
      <c r="M18" s="56" t="str">
        <f t="shared" si="1"/>
        <v/>
      </c>
    </row>
    <row r="19" spans="2:13" ht="21.75" customHeight="1" x14ac:dyDescent="0.2">
      <c r="B19" s="16"/>
      <c r="C19" s="16"/>
      <c r="D19" s="16"/>
      <c r="E19" s="53"/>
      <c r="F19" s="53"/>
      <c r="G19" s="53"/>
      <c r="H19" s="53"/>
      <c r="I19" s="53"/>
      <c r="J19" s="53"/>
      <c r="K19" s="53"/>
      <c r="L19" s="54" t="str">
        <f t="shared" si="0"/>
        <v/>
      </c>
      <c r="M19" s="53" t="str">
        <f t="shared" si="1"/>
        <v/>
      </c>
    </row>
  </sheetData>
  <mergeCells count="1">
    <mergeCell ref="B2:M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RÚBRICA</vt:lpstr>
      <vt:lpstr>CALIFICACIÓN</vt:lpstr>
      <vt:lpstr>HISTÓRICO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Especialista de Negocios Verdes</cp:lastModifiedBy>
  <cp:revision>0</cp:revision>
  <dcterms:created xsi:type="dcterms:W3CDTF">2026-03-05T13:58:47Z</dcterms:created>
  <dcterms:modified xsi:type="dcterms:W3CDTF">2026-03-05T14:17:15Z</dcterms:modified>
  <dc:language>en-US</dc:language>
</cp:coreProperties>
</file>