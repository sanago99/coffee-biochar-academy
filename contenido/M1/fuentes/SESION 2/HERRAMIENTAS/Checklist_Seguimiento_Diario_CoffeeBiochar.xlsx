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martinez/Documents/PLAN DE FORMACION/MODULO 1/SESION 2/"/>
    </mc:Choice>
  </mc:AlternateContent>
  <xr:revisionPtr revIDLastSave="0" documentId="8_{23FE9869-1C70-F241-A509-4B535F13FB1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ORTADA" sheetId="1" r:id="rId1"/>
    <sheet name="HORNO 1" sheetId="2" r:id="rId2"/>
    <sheet name="HORNO 2" sheetId="3" r:id="rId3"/>
    <sheet name="HORNO 3" sheetId="4" r:id="rId4"/>
    <sheet name="RESUMEN BACH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3" i="4" l="1"/>
  <c r="Q13" i="4"/>
  <c r="Q15" i="4" s="1"/>
  <c r="P13" i="4"/>
  <c r="P14" i="4" s="1"/>
  <c r="O13" i="4"/>
  <c r="O14" i="4" s="1"/>
  <c r="N13" i="4"/>
  <c r="N14" i="4" s="1"/>
  <c r="M13" i="4"/>
  <c r="M14" i="4" s="1"/>
  <c r="L13" i="4"/>
  <c r="L14" i="4" s="1"/>
  <c r="K13" i="4"/>
  <c r="K14" i="4" s="1"/>
  <c r="J13" i="4"/>
  <c r="J15" i="4" s="1"/>
  <c r="I13" i="4"/>
  <c r="I15" i="4" s="1"/>
  <c r="H13" i="4"/>
  <c r="H15" i="4" s="1"/>
  <c r="G13" i="4"/>
  <c r="G15" i="4" s="1"/>
  <c r="F13" i="4"/>
  <c r="F14" i="4" s="1"/>
  <c r="E13" i="4"/>
  <c r="E14" i="4" s="1"/>
  <c r="D13" i="4"/>
  <c r="D14" i="4" s="1"/>
  <c r="C13" i="4"/>
  <c r="C14" i="4" s="1"/>
  <c r="O15" i="3"/>
  <c r="N15" i="3"/>
  <c r="K15" i="3"/>
  <c r="E15" i="3"/>
  <c r="D15" i="3"/>
  <c r="O14" i="3"/>
  <c r="N14" i="3"/>
  <c r="M14" i="3"/>
  <c r="K14" i="3"/>
  <c r="J14" i="3"/>
  <c r="E14" i="3"/>
  <c r="D14" i="3"/>
  <c r="C14" i="3"/>
  <c r="S13" i="3"/>
  <c r="Q13" i="3"/>
  <c r="Q15" i="3" s="1"/>
  <c r="P13" i="3"/>
  <c r="P15" i="3" s="1"/>
  <c r="O13" i="3"/>
  <c r="N13" i="3"/>
  <c r="M13" i="3"/>
  <c r="M15" i="3" s="1"/>
  <c r="L13" i="3"/>
  <c r="L14" i="3" s="1"/>
  <c r="K13" i="3"/>
  <c r="J13" i="3"/>
  <c r="J15" i="3" s="1"/>
  <c r="I13" i="3"/>
  <c r="I14" i="3" s="1"/>
  <c r="H13" i="3"/>
  <c r="H15" i="3" s="1"/>
  <c r="G13" i="3"/>
  <c r="G15" i="3" s="1"/>
  <c r="F13" i="3"/>
  <c r="F15" i="3" s="1"/>
  <c r="E13" i="3"/>
  <c r="D13" i="3"/>
  <c r="C13" i="3"/>
  <c r="C15" i="3" s="1"/>
  <c r="P15" i="2"/>
  <c r="E5" i="5" s="1"/>
  <c r="O15" i="2"/>
  <c r="M15" i="2"/>
  <c r="L15" i="2"/>
  <c r="F15" i="2"/>
  <c r="E15" i="2"/>
  <c r="C15" i="2"/>
  <c r="M14" i="2"/>
  <c r="L14" i="2"/>
  <c r="K14" i="2"/>
  <c r="J14" i="2"/>
  <c r="I14" i="2"/>
  <c r="C14" i="2"/>
  <c r="S13" i="2"/>
  <c r="Q13" i="2"/>
  <c r="Q14" i="2" s="1"/>
  <c r="P13" i="2"/>
  <c r="P14" i="2" s="1"/>
  <c r="O13" i="2"/>
  <c r="O14" i="2" s="1"/>
  <c r="N13" i="2"/>
  <c r="N15" i="2" s="1"/>
  <c r="M13" i="2"/>
  <c r="L13" i="2"/>
  <c r="K13" i="2"/>
  <c r="K15" i="2" s="1"/>
  <c r="J13" i="2"/>
  <c r="J15" i="2" s="1"/>
  <c r="I13" i="2"/>
  <c r="I15" i="2" s="1"/>
  <c r="H13" i="2"/>
  <c r="H14" i="2" s="1"/>
  <c r="G13" i="2"/>
  <c r="G14" i="2" s="1"/>
  <c r="F13" i="2"/>
  <c r="F14" i="2" s="1"/>
  <c r="E13" i="2"/>
  <c r="E14" i="2" s="1"/>
  <c r="D13" i="2"/>
  <c r="D15" i="2" s="1"/>
  <c r="C13" i="2"/>
  <c r="D5" i="5" l="1"/>
  <c r="S14" i="2"/>
  <c r="F5" i="5"/>
  <c r="F7" i="5"/>
  <c r="D7" i="5"/>
  <c r="S14" i="4"/>
  <c r="S15" i="3"/>
  <c r="E6" i="5"/>
  <c r="I15" i="3"/>
  <c r="G14" i="4"/>
  <c r="Q14" i="4"/>
  <c r="K15" i="4"/>
  <c r="H14" i="4"/>
  <c r="L15" i="4"/>
  <c r="I14" i="4"/>
  <c r="C15" i="4"/>
  <c r="M15" i="4"/>
  <c r="J14" i="4"/>
  <c r="D15" i="4"/>
  <c r="N15" i="4"/>
  <c r="G15" i="2"/>
  <c r="Q15" i="2"/>
  <c r="D14" i="2"/>
  <c r="N14" i="2"/>
  <c r="H15" i="2"/>
  <c r="S15" i="2"/>
  <c r="F14" i="3"/>
  <c r="P14" i="3"/>
  <c r="G14" i="3"/>
  <c r="Q14" i="3"/>
  <c r="H14" i="3"/>
  <c r="L15" i="3"/>
  <c r="E15" i="4"/>
  <c r="O15" i="4"/>
  <c r="F15" i="4"/>
  <c r="P15" i="4"/>
  <c r="S14" i="3" l="1"/>
  <c r="F6" i="5"/>
  <c r="D6" i="5"/>
  <c r="S15" i="4"/>
  <c r="E7" i="5"/>
  <c r="D8" i="5"/>
  <c r="F8" i="5" l="1"/>
  <c r="E8" i="5"/>
</calcChain>
</file>

<file path=xl/sharedStrings.xml><?xml version="1.0" encoding="utf-8"?>
<sst xmlns="http://schemas.openxmlformats.org/spreadsheetml/2006/main" count="280" uniqueCount="102">
  <si>
    <t>Coffee Biochar — Checklist de Seguimiento Diario</t>
  </si>
  <si>
    <t>Biodiversal SAS BIC × Cirkular Agro  ·  Módulo 1, Sesión 1.2</t>
  </si>
  <si>
    <t>Extensionista:</t>
  </si>
  <si>
    <t>Cluster:</t>
  </si>
  <si>
    <t>Batch #:</t>
  </si>
  <si>
    <t>Fecha inicio batch:</t>
  </si>
  <si>
    <t>Fecha fin batch:</t>
  </si>
  <si>
    <t>KPI meta por horno: 18.500 L</t>
  </si>
  <si>
    <t>CÓMO USAR ESTE CHECKLIST</t>
  </si>
  <si>
    <t>1.  Cada pestaña corresponde a un horno. Completa los datos del productor al inicio del batch.</t>
  </si>
  <si>
    <t>2.  Registra S (Sí) o N (No) en cada celda diaria. Para litros, ingresa el número directamente.</t>
  </si>
  <si>
    <t>3.  El panel de resumen calcula automáticamente el ritmo acumulado y el estado de alerta.</t>
  </si>
  <si>
    <t>4.  El líder de clúster revisa el resumen semanal cada viernes y firma digitalmente en la celda indicada.</t>
  </si>
  <si>
    <t>5.  El checklist completo se adjunta como evidencia de dMRV bajo el estándar Global Artisan C-Sink.</t>
  </si>
  <si>
    <t>REGLA DE ORO:</t>
  </si>
  <si>
    <t>Registro cargado en Planboo el mismo día de la quema. Máximo: día hábil siguiente. Sin excepciones.</t>
  </si>
  <si>
    <t>Coffee Biochar  ·  HORNO 1  ·  Seguimiento Diario de Batch</t>
  </si>
  <si>
    <t>Productor:</t>
  </si>
  <si>
    <t>ID Horno:</t>
  </si>
  <si>
    <t>Vereda / Municipio:</t>
  </si>
  <si>
    <t>Meta por horno: 18.500 L</t>
  </si>
  <si>
    <t>INDICADOR / ACCIÓN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</si>
  <si>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</si>
  <si>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</si>
  <si>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</si>
  <si>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</si>
  <si>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</si>
  <si>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</si>
  <si>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</si>
  <si>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</si>
  <si>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</si>
  <si>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</si>
  <si>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</si>
  <si>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</si>
  <si>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</si>
  <si>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</si>
  <si>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</si>
  <si>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META</t>
  </si>
  <si>
    <t>ESTADO</t>
  </si>
  <si>
    <t>OBSERVACIONES</t>
  </si>
  <si>
    <t>1.  PRODUCCIÓN  ·  Meta: 18.500 L / horno en 15 días hábiles</t>
  </si>
  <si>
    <t>¿Quemó hoy? (S/N)</t>
  </si>
  <si>
    <t>≥1/día</t>
  </si>
  <si>
    <t>Litros quemados (ingresar número)</t>
  </si>
  <si>
    <t>~1.233 L</t>
  </si>
  <si>
    <t>Litros acumulados (auto)</t>
  </si>
  <si>
    <t>18.500 L</t>
  </si>
  <si>
    <t>Ritmo necesario hoy (L/día restante)</t>
  </si>
  <si>
    <t>≤1.233 L</t>
  </si>
  <si>
    <t>% avance vs meta (auto)</t>
  </si>
  <si>
    <t>100%</t>
  </si>
  <si>
    <t>2.  REGISTRO PLANBOO  ·  Máximo: día hábil siguiente a cada quema</t>
  </si>
  <si>
    <t>¿Registro cargado hoy? (S/N)</t>
  </si>
  <si>
    <t>S todos</t>
  </si>
  <si>
    <t>¿Fotos con GPS adjuntas? (S/N)</t>
  </si>
  <si>
    <t>¿Quemas pendientes = 0? (S/N)</t>
  </si>
  <si>
    <t>3.  VISITA DIARIA — 5 MOMENTOS</t>
  </si>
  <si>
    <t>1. Verificó estado del horno (S/N)</t>
  </si>
  <si>
    <t>2. Apoyó quema activa (S/N/NA)</t>
  </si>
  <si>
    <t>S/NA</t>
  </si>
  <si>
    <t>3. Registros al día en Planboo (S/N)</t>
  </si>
  <si>
    <t>4. Diagnóstico de ritmo en voz alta (S/N)</t>
  </si>
  <si>
    <t>5. Compromiso concreto día siguiente (S/N)</t>
  </si>
  <si>
    <t>4.  ALERTAS — marcar con 'S' si aplica; escalar ese mismo día al líder de clúster</t>
  </si>
  <si>
    <t>⚠ Horno lleva 2+ días sin quema (S/N)</t>
  </si>
  <si>
    <t>N todos</t>
  </si>
  <si>
    <t>⚠ Retraso &gt;20% vs ritmo necesario (S/N)</t>
  </si>
  <si>
    <t>⚠ Inconsistencias en Planboo (S/N)</t>
  </si>
  <si>
    <t>⚠ Escalado a líder de clúster (S/N)</t>
  </si>
  <si>
    <t>según</t>
  </si>
  <si>
    <t>RESUMEN SEMANAL  ·  Revisión con líder de clúster</t>
  </si>
  <si>
    <t>Semana</t>
  </si>
  <si>
    <t>Días cubiertos</t>
  </si>
  <si>
    <t>L acumulados</t>
  </si>
  <si>
    <t>Alertas escaladas</t>
  </si>
  <si>
    <t>Observación del líder</t>
  </si>
  <si>
    <t>Semana 1</t>
  </si>
  <si>
    <t>Días 1–5</t>
  </si>
  <si>
    <t>Ver Fila 13</t>
  </si>
  <si>
    <t>Semana 2</t>
  </si>
  <si>
    <t>Días 6–10</t>
  </si>
  <si>
    <t>Semana 3 / cierre</t>
  </si>
  <si>
    <t>Días 11–15</t>
  </si>
  <si>
    <t>Firma extensionista:</t>
  </si>
  <si>
    <t>Firma líder de clúster:</t>
  </si>
  <si>
    <t>Coffee Biochar  ·  HORNO 2  ·  Seguimiento Diario de Batch</t>
  </si>
  <si>
    <t>Coffee Biochar  ·  HORNO 3  ·  Seguimiento Diario de Batch</t>
  </si>
  <si>
    <t>Coffee Biochar  ·  Resumen de Cluster  ·  Biodiversal SAS BIC</t>
  </si>
  <si>
    <t>HORNO</t>
  </si>
  <si>
    <t>PRODUCTOR / VEREDA</t>
  </si>
  <si>
    <t>L ACUMULADOS (DÍA 15)</t>
  </si>
  <si>
    <t>% VS META</t>
  </si>
  <si>
    <t>ESTADO FINAL</t>
  </si>
  <si>
    <t>OBS. LÍDER</t>
  </si>
  <si>
    <t>Horno 1</t>
  </si>
  <si>
    <t>Ver pestaña HORNO 1</t>
  </si>
  <si>
    <t>Horno 2</t>
  </si>
  <si>
    <t>Ver pestaña HORNO 2</t>
  </si>
  <si>
    <t>Horno 3</t>
  </si>
  <si>
    <t>Ver pestaña HORNO 3</t>
  </si>
  <si>
    <t>TOTAL 3 HORNOS</t>
  </si>
  <si>
    <t>KPI Meta: 55.500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</si>
</sst>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i/>
      <sz val="18"/>
      <color rgb="FFFFFFFF"/>
      <name val="Georgia"/>
      <family val="1"/>
    </font>
    <font>
      <b/>
      <sz val="11"/>
      <color rgb="FFFFFFFF"/>
      <name val="Arial"/>
      <family val="2"/>
    </font>
    <font>
      <b/>
      <sz val="10"/>
      <color rgb="FF3E4D58"/>
      <name val="Arial"/>
      <family val="2"/>
    </font>
    <font>
      <sz val="10"/>
      <color rgb="FF3E4D58"/>
      <name val="Arial"/>
      <family val="2"/>
    </font>
    <font>
      <b/>
      <sz val="10"/>
      <color rgb="FF50827C"/>
      <name val="Arial"/>
      <family val="2"/>
    </font>
    <font>
      <b/>
      <sz val="11"/>
      <color rgb="FFA85C38"/>
      <name val="Arial"/>
      <family val="2"/>
    </font>
    <font>
      <b/>
      <sz val="10"/>
      <color rgb="FFA85C38"/>
      <name val="Arial"/>
      <family val="2"/>
    </font>
    <font>
      <b/>
      <i/>
      <sz val="14"/>
      <color rgb="FFFFFFFF"/>
      <name val="Georgia"/>
      <family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A85C38"/>
      <name val="Arial"/>
      <family val="2"/>
    </font>
    <font>
      <sz val="9"/>
      <color rgb="FF3E4D58"/>
      <name val="Arial"/>
      <family val="2"/>
    </font>
    <font>
      <b/>
      <sz val="9"/>
      <color rgb="FF3E4D58"/>
      <name val="Arial"/>
      <family val="2"/>
    </font>
    <font>
      <b/>
      <sz val="9"/>
      <color rgb="FF50827C"/>
      <name val="Arial"/>
      <family val="2"/>
    </font>
    <font>
      <sz val="9"/>
      <color rgb="FF50827C"/>
      <name val="Arial"/>
      <family val="2"/>
    </font>
    <font>
      <sz val="10"/>
      <color rgb="FF50827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E4D58"/>
        <bgColor rgb="FF333399"/>
      </patternFill>
    </fill>
    <fill>
      <patternFill patternType="solid">
        <fgColor rgb="FFA85C38"/>
        <bgColor rgb="FF993366"/>
      </patternFill>
    </fill>
    <fill>
      <patternFill patternType="solid">
        <fgColor rgb="FFF0EDE6"/>
        <bgColor rgb="FFEDE8E0"/>
      </patternFill>
    </fill>
    <fill>
      <patternFill patternType="solid">
        <fgColor rgb="FFFFFFFF"/>
        <bgColor rgb="FFF8F6F2"/>
      </patternFill>
    </fill>
    <fill>
      <patternFill patternType="solid">
        <fgColor rgb="FFEDE8E0"/>
        <bgColor rgb="FFF0EDE6"/>
      </patternFill>
    </fill>
    <fill>
      <patternFill patternType="solid">
        <fgColor rgb="FFF8F6F2"/>
        <bgColor rgb="FFFFFFFF"/>
      </patternFill>
    </fill>
    <fill>
      <patternFill patternType="solid">
        <fgColor rgb="FFBDE0D6"/>
        <bgColor rgb="FFCCCCCC"/>
      </patternFill>
    </fill>
    <fill>
      <patternFill patternType="solid">
        <fgColor rgb="FF50827C"/>
        <bgColor rgb="FF80808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medium">
        <color rgb="FFA85C38"/>
      </top>
      <bottom style="thin">
        <color rgb="FFCCCCCC"/>
      </bottom>
      <diagonal/>
    </border>
    <border>
      <left style="medium">
        <color rgb="FFA85C38"/>
      </left>
      <right/>
      <top style="medium">
        <color rgb="FFA85C38"/>
      </top>
      <bottom style="medium">
        <color rgb="FFA85C38"/>
      </bottom>
      <diagonal/>
    </border>
    <border>
      <left style="medium">
        <color rgb="FF50827C"/>
      </left>
      <right/>
      <top style="medium">
        <color rgb="FF50827C"/>
      </top>
      <bottom style="medium">
        <color rgb="FF50827C"/>
      </bottom>
      <diagonal/>
    </border>
    <border>
      <left style="medium">
        <color rgb="FF3E4D58"/>
      </left>
      <right/>
      <top style="medium">
        <color rgb="FF3E4D58"/>
      </top>
      <bottom style="medium">
        <color rgb="FF3E4D5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9" borderId="5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3" borderId="0" xfId="0" applyFill="1"/>
    <xf numFmtId="0" fontId="7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3" fontId="12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/>
    </xf>
    <xf numFmtId="9" fontId="14" fillId="8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9" fontId="10" fillId="9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9" fontId="16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16" fillId="7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A85C38"/>
      <rgbColor rgb="FFF8F6F2"/>
      <rgbColor rgb="FFF0EDE6"/>
      <rgbColor rgb="FF660066"/>
      <rgbColor rgb="FFFF8080"/>
      <rgbColor rgb="FF0066CC"/>
      <rgbColor rgb="FFBDE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8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0827C"/>
      <rgbColor rgb="FF003300"/>
      <rgbColor rgb="FF333300"/>
      <rgbColor rgb="FF993300"/>
      <rgbColor rgb="FF993366"/>
      <rgbColor rgb="FF333399"/>
      <rgbColor rgb="FF3E4D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3" width="45" customWidth="1"/>
    <col min="4" max="4" width="25" customWidth="1"/>
  </cols>
  <sheetData>
    <row r="1" spans="1:9" ht="7.5" customHeight="1" x14ac:dyDescent="0.2"/>
    <row r="2" spans="1:9" ht="21.75" customHeight="1" x14ac:dyDescent="0.2">
      <c r="A2" s="15"/>
      <c r="B2" s="14" t="s">
        <v>0</v>
      </c>
      <c r="C2" s="14"/>
      <c r="D2" s="14"/>
      <c r="E2" s="15"/>
      <c r="F2" s="15"/>
      <c r="G2" s="15"/>
      <c r="H2" s="15"/>
      <c r="I2" s="15"/>
    </row>
    <row r="3" spans="1:9" ht="21.75" customHeight="1" x14ac:dyDescent="0.2">
      <c r="A3" s="15"/>
      <c r="B3" s="14"/>
      <c r="C3" s="14"/>
      <c r="D3" s="14"/>
      <c r="E3" s="15"/>
      <c r="F3" s="15"/>
      <c r="G3" s="15"/>
      <c r="H3" s="15"/>
      <c r="I3" s="15"/>
    </row>
    <row r="4" spans="1:9" ht="21.75" customHeight="1" x14ac:dyDescent="0.2">
      <c r="A4" s="15"/>
      <c r="B4" s="14"/>
      <c r="C4" s="14"/>
      <c r="D4" s="14"/>
      <c r="E4" s="15"/>
      <c r="F4" s="15"/>
      <c r="G4" s="15"/>
      <c r="H4" s="15"/>
      <c r="I4" s="15"/>
    </row>
    <row r="5" spans="1:9" ht="21.75" customHeight="1" x14ac:dyDescent="0.2">
      <c r="A5" s="15"/>
      <c r="B5" s="14"/>
      <c r="C5" s="14"/>
      <c r="D5" s="14"/>
      <c r="E5" s="15"/>
      <c r="F5" s="15"/>
      <c r="G5" s="15"/>
      <c r="H5" s="15"/>
      <c r="I5" s="15"/>
    </row>
    <row r="6" spans="1:9" ht="7.5" customHeight="1" x14ac:dyDescent="0.2"/>
    <row r="7" spans="1:9" ht="21.75" customHeight="1" x14ac:dyDescent="0.2">
      <c r="B7" s="13" t="s">
        <v>1</v>
      </c>
      <c r="C7" s="13"/>
      <c r="D7" s="13"/>
    </row>
    <row r="8" spans="1:9" ht="12" customHeight="1" x14ac:dyDescent="0.2"/>
    <row r="9" spans="1:9" ht="21.75" customHeight="1" x14ac:dyDescent="0.2">
      <c r="B9" s="16" t="s">
        <v>2</v>
      </c>
      <c r="C9" s="17"/>
      <c r="D9" s="18" t="s">
        <v>3</v>
      </c>
    </row>
    <row r="11" spans="1:9" ht="21.75" customHeight="1" x14ac:dyDescent="0.2">
      <c r="B11" s="16" t="s">
        <v>4</v>
      </c>
      <c r="C11" s="17"/>
      <c r="D11" s="18" t="s">
        <v>5</v>
      </c>
    </row>
    <row r="13" spans="1:9" ht="21.75" customHeight="1" x14ac:dyDescent="0.2">
      <c r="B13" s="16" t="s">
        <v>6</v>
      </c>
      <c r="C13" s="17"/>
      <c r="D13" s="18" t="s">
        <v>7</v>
      </c>
    </row>
    <row r="15" spans="1:9" ht="12" customHeight="1" x14ac:dyDescent="0.2"/>
    <row r="16" spans="1:9" ht="19.5" customHeight="1" x14ac:dyDescent="0.2">
      <c r="B16" s="12" t="s">
        <v>8</v>
      </c>
      <c r="C16" s="12"/>
      <c r="D16" s="12"/>
    </row>
    <row r="17" spans="2:4" ht="19.5" customHeight="1" x14ac:dyDescent="0.2">
      <c r="B17" s="11" t="s">
        <v>9</v>
      </c>
      <c r="C17" s="11"/>
      <c r="D17" s="11"/>
    </row>
    <row r="18" spans="2:4" ht="19.5" customHeight="1" x14ac:dyDescent="0.2">
      <c r="B18" s="11" t="s">
        <v>10</v>
      </c>
      <c r="C18" s="11"/>
      <c r="D18" s="11"/>
    </row>
    <row r="19" spans="2:4" ht="19.5" customHeight="1" x14ac:dyDescent="0.2">
      <c r="B19" s="11" t="s">
        <v>11</v>
      </c>
      <c r="C19" s="11"/>
      <c r="D19" s="11"/>
    </row>
    <row r="20" spans="2:4" ht="19.5" customHeight="1" x14ac:dyDescent="0.2">
      <c r="B20" s="11" t="s">
        <v>12</v>
      </c>
      <c r="C20" s="11"/>
      <c r="D20" s="11"/>
    </row>
    <row r="21" spans="2:4" ht="19.5" customHeight="1" x14ac:dyDescent="0.2">
      <c r="B21" s="11" t="s">
        <v>13</v>
      </c>
      <c r="C21" s="11"/>
      <c r="D21" s="11"/>
    </row>
    <row r="22" spans="2:4" ht="19.5" customHeight="1" x14ac:dyDescent="0.2">
      <c r="B22" s="10" t="s">
        <v>14</v>
      </c>
      <c r="C22" s="10"/>
      <c r="D22" s="10"/>
    </row>
    <row r="23" spans="2:4" ht="19.5" customHeight="1" x14ac:dyDescent="0.2">
      <c r="B23" s="11" t="s">
        <v>15</v>
      </c>
      <c r="C23" s="11"/>
      <c r="D23" s="11"/>
    </row>
  </sheetData>
  <mergeCells count="10">
    <mergeCell ref="B19:D19"/>
    <mergeCell ref="B20:D20"/>
    <mergeCell ref="B21:D21"/>
    <mergeCell ref="B22:D22"/>
    <mergeCell ref="B23:D23"/>
    <mergeCell ref="B2:D5"/>
    <mergeCell ref="B7:D7"/>
    <mergeCell ref="B16:D16"/>
    <mergeCell ref="B17:D17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0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K40" sqref="K40:T40"/>
    </sheetView>
  </sheetViews>
  <sheetFormatPr baseColWidth="10" defaultColWidth="8.6640625" defaultRowHeight="15" x14ac:dyDescent="0.2"/>
  <cols>
    <col min="1" max="1" width="2" customWidth="1"/>
    <col min="2" max="2" width="30.83203125" bestFit="1" customWidth="1"/>
    <col min="3" max="18" width="7" customWidth="1"/>
    <col min="19" max="19" width="14" customWidth="1"/>
    <col min="20" max="20" width="18" customWidth="1"/>
  </cols>
  <sheetData>
    <row r="1" spans="2:20" ht="7.5" customHeight="1" x14ac:dyDescent="0.2"/>
    <row r="2" spans="2:20" ht="30" customHeight="1" x14ac:dyDescent="0.2">
      <c r="B2" s="9" t="s">
        <v>16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2:20" ht="6" customHeight="1" x14ac:dyDescent="0.2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2:20" ht="19.5" customHeight="1" x14ac:dyDescent="0.2">
      <c r="B4" s="16" t="s">
        <v>2</v>
      </c>
      <c r="C4" s="8"/>
      <c r="D4" s="8"/>
      <c r="E4" s="8"/>
      <c r="F4" s="8"/>
      <c r="G4" s="8"/>
      <c r="H4" s="8"/>
      <c r="I4" s="8"/>
      <c r="J4" s="8"/>
      <c r="K4" s="20" t="s">
        <v>17</v>
      </c>
      <c r="L4" s="8"/>
      <c r="M4" s="8"/>
      <c r="N4" s="8"/>
      <c r="O4" s="8"/>
      <c r="P4" s="8"/>
      <c r="Q4" s="8"/>
      <c r="R4" s="8"/>
      <c r="S4" s="8"/>
      <c r="T4" s="8"/>
    </row>
    <row r="5" spans="2:20" ht="19.5" customHeight="1" x14ac:dyDescent="0.2">
      <c r="B5" s="16" t="s">
        <v>18</v>
      </c>
      <c r="C5" s="8"/>
      <c r="D5" s="8"/>
      <c r="E5" s="8"/>
      <c r="F5" s="8"/>
      <c r="G5" s="8"/>
      <c r="H5" s="8"/>
      <c r="I5" s="8"/>
      <c r="J5" s="8"/>
      <c r="K5" s="20" t="s">
        <v>19</v>
      </c>
      <c r="L5" s="8"/>
      <c r="M5" s="8"/>
      <c r="N5" s="8"/>
      <c r="O5" s="8"/>
      <c r="P5" s="8"/>
      <c r="Q5" s="8"/>
      <c r="R5" s="8"/>
      <c r="S5" s="8"/>
      <c r="T5" s="8"/>
    </row>
    <row r="6" spans="2:20" ht="19.5" customHeight="1" x14ac:dyDescent="0.2">
      <c r="B6" s="16" t="s">
        <v>5</v>
      </c>
      <c r="C6" s="8"/>
      <c r="D6" s="8"/>
      <c r="E6" s="8"/>
      <c r="F6" s="8"/>
      <c r="G6" s="8"/>
      <c r="H6" s="8"/>
      <c r="I6" s="8"/>
      <c r="J6" s="8"/>
      <c r="K6" s="20" t="s">
        <v>6</v>
      </c>
      <c r="L6" s="8"/>
      <c r="M6" s="8"/>
      <c r="N6" s="8"/>
      <c r="O6" s="8"/>
      <c r="P6" s="8"/>
      <c r="Q6" s="8"/>
      <c r="R6" s="8"/>
      <c r="S6" s="8"/>
      <c r="T6" s="8"/>
    </row>
    <row r="7" spans="2:20" ht="19.5" customHeight="1" x14ac:dyDescent="0.2">
      <c r="B7" s="16" t="s">
        <v>4</v>
      </c>
      <c r="C7" s="8"/>
      <c r="D7" s="8"/>
      <c r="E7" s="8"/>
      <c r="F7" s="8"/>
      <c r="G7" s="8"/>
      <c r="H7" s="8"/>
      <c r="I7" s="8"/>
      <c r="J7" s="8"/>
      <c r="K7" s="20" t="s">
        <v>20</v>
      </c>
      <c r="L7" s="8"/>
      <c r="M7" s="8"/>
      <c r="N7" s="8"/>
      <c r="O7" s="8"/>
      <c r="P7" s="8"/>
      <c r="Q7" s="8"/>
      <c r="R7" s="8"/>
      <c r="S7" s="8"/>
      <c r="T7" s="8"/>
    </row>
    <row r="8" spans="2:20" ht="7.5" customHeight="1" x14ac:dyDescent="0.2"/>
    <row r="9" spans="2:20" ht="27.75" customHeight="1" x14ac:dyDescent="0.2">
      <c r="B9" s="21" t="s">
        <v>21</v>
      </c>
      <c r="C9" s="22" t="s">
        <v>22</v>
      </c>
      <c r="D9" s="23" t="s">
        <v>23</v>
      </c>
      <c r="E9" s="22" t="s">
        <v>24</v>
      </c>
      <c r="F9" s="23" t="s">
        <v>25</v>
      </c>
      <c r="G9" s="22" t="s">
        <v>26</v>
      </c>
      <c r="H9" s="23" t="s">
        <v>27</v>
      </c>
      <c r="I9" s="22" t="s">
        <v>28</v>
      </c>
      <c r="J9" s="23" t="s">
        <v>29</v>
      </c>
      <c r="K9" s="22" t="s">
        <v>30</v>
      </c>
      <c r="L9" s="23" t="s">
        <v>31</v>
      </c>
      <c r="M9" s="22" t="s">
        <v>32</v>
      </c>
      <c r="N9" s="23" t="s">
        <v>33</v>
      </c>
      <c r="O9" s="22" t="s">
        <v>34</v>
      </c>
      <c r="P9" s="23" t="s">
        <v>35</v>
      </c>
      <c r="Q9" s="22" t="s">
        <v>36</v>
      </c>
      <c r="R9" s="21" t="s">
        <v>37</v>
      </c>
      <c r="S9" s="21" t="s">
        <v>38</v>
      </c>
      <c r="T9" s="21" t="s">
        <v>39</v>
      </c>
    </row>
    <row r="10" spans="2:20" ht="18" customHeight="1" x14ac:dyDescent="0.2">
      <c r="B10" s="7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21.75" customHeight="1" x14ac:dyDescent="0.2"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2" t="s">
        <v>42</v>
      </c>
      <c r="S11" s="26"/>
      <c r="T11" s="24"/>
    </row>
    <row r="12" spans="2:20" ht="21.75" customHeight="1" x14ac:dyDescent="0.2">
      <c r="B12" s="27" t="s">
        <v>43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2" t="s">
        <v>44</v>
      </c>
      <c r="S12" s="29"/>
      <c r="T12" s="27"/>
    </row>
    <row r="13" spans="2:20" ht="21.75" customHeight="1" x14ac:dyDescent="0.2">
      <c r="B13" s="24" t="s">
        <v>45</v>
      </c>
      <c r="C13" s="30">
        <f>SUM(C12:C12)</f>
        <v>0</v>
      </c>
      <c r="D13" s="30">
        <f>SUM(C12:D12)</f>
        <v>0</v>
      </c>
      <c r="E13" s="30">
        <f>SUM(C12:E12)</f>
        <v>0</v>
      </c>
      <c r="F13" s="30">
        <f>SUM(C12:F12)</f>
        <v>0</v>
      </c>
      <c r="G13" s="30">
        <f>SUM(C12:G12)</f>
        <v>0</v>
      </c>
      <c r="H13" s="30">
        <f>SUM(C12:H12)</f>
        <v>0</v>
      </c>
      <c r="I13" s="30">
        <f>SUM(C12:I12)</f>
        <v>0</v>
      </c>
      <c r="J13" s="30">
        <f>SUM(C12:J12)</f>
        <v>0</v>
      </c>
      <c r="K13" s="30">
        <f>SUM(C12:K12)</f>
        <v>0</v>
      </c>
      <c r="L13" s="30">
        <f>SUM(C12:L12)</f>
        <v>0</v>
      </c>
      <c r="M13" s="30">
        <f>SUM(C12:M12)</f>
        <v>0</v>
      </c>
      <c r="N13" s="30">
        <f>SUM(C12:N12)</f>
        <v>0</v>
      </c>
      <c r="O13" s="30">
        <f>SUM(C12:O12)</f>
        <v>0</v>
      </c>
      <c r="P13" s="30">
        <f>SUM(C12:P12)</f>
        <v>0</v>
      </c>
      <c r="Q13" s="30">
        <f>SUM(C12:Q12)</f>
        <v>0</v>
      </c>
      <c r="R13" s="22" t="s">
        <v>46</v>
      </c>
      <c r="S13" s="26" t="str">
        <f>IF(R13&gt;=18500,"✓","⚠")</f>
        <v>✓</v>
      </c>
      <c r="T13" s="24"/>
    </row>
    <row r="14" spans="2:20" ht="21.75" customHeight="1" x14ac:dyDescent="0.2">
      <c r="B14" s="27" t="s">
        <v>47</v>
      </c>
      <c r="C14" s="30">
        <f>IFERROR((18500-C13)/15,0)</f>
        <v>1233.3333333333333</v>
      </c>
      <c r="D14" s="30">
        <f>IFERROR((18500-D13)/14,0)</f>
        <v>1321.4285714285713</v>
      </c>
      <c r="E14" s="30">
        <f>IFERROR((18500-E13)/13,0)</f>
        <v>1423.0769230769231</v>
      </c>
      <c r="F14" s="30">
        <f>IFERROR((18500-F13)/12,0)</f>
        <v>1541.6666666666667</v>
      </c>
      <c r="G14" s="30">
        <f>IFERROR((18500-G13)/11,0)</f>
        <v>1681.8181818181818</v>
      </c>
      <c r="H14" s="30">
        <f>IFERROR((18500-H13)/10,0)</f>
        <v>1850</v>
      </c>
      <c r="I14" s="30">
        <f>IFERROR((18500-I13)/9,0)</f>
        <v>2055.5555555555557</v>
      </c>
      <c r="J14" s="30">
        <f>IFERROR((18500-J13)/8,0)</f>
        <v>2312.5</v>
      </c>
      <c r="K14" s="30">
        <f>IFERROR((18500-K13)/7,0)</f>
        <v>2642.8571428571427</v>
      </c>
      <c r="L14" s="30">
        <f>IFERROR((18500-L13)/6,0)</f>
        <v>3083.3333333333335</v>
      </c>
      <c r="M14" s="30">
        <f>IFERROR((18500-M13)/5,0)</f>
        <v>3700</v>
      </c>
      <c r="N14" s="30">
        <f>IFERROR((18500-N13)/4,0)</f>
        <v>4625</v>
      </c>
      <c r="O14" s="30">
        <f>IFERROR((18500-O13)/3,0)</f>
        <v>6166.666666666667</v>
      </c>
      <c r="P14" s="30">
        <f>IFERROR((18500-P13)/2,0)</f>
        <v>9250</v>
      </c>
      <c r="Q14" s="30">
        <f>IFERROR((18500-Q13)/1,0)</f>
        <v>18500</v>
      </c>
      <c r="R14" s="22" t="s">
        <v>48</v>
      </c>
      <c r="S14" s="29" t="str">
        <f>IF(P14&gt;1850,"⚠ ALERTA",IF(P14&gt;1233,"⚠ RIESGO","✓ OK"))</f>
        <v>⚠ ALERTA</v>
      </c>
      <c r="T14" s="27"/>
    </row>
    <row r="15" spans="2:20" ht="21.75" customHeight="1" x14ac:dyDescent="0.2">
      <c r="B15" s="24" t="s">
        <v>49</v>
      </c>
      <c r="C15" s="31">
        <f t="shared" ref="C15:Q15" si="0">IFERROR(C13/18500,0)</f>
        <v>0</v>
      </c>
      <c r="D15" s="31">
        <f t="shared" si="0"/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31">
        <f t="shared" si="0"/>
        <v>0</v>
      </c>
      <c r="Q15" s="31">
        <f t="shared" si="0"/>
        <v>0</v>
      </c>
      <c r="R15" s="32" t="s">
        <v>50</v>
      </c>
      <c r="S15" s="26" t="str">
        <f>IF(P15&gt;=1,"✓","⏳")</f>
        <v>⏳</v>
      </c>
      <c r="T15" s="24"/>
    </row>
    <row r="16" spans="2:20" ht="6" customHeight="1" x14ac:dyDescent="0.2"/>
    <row r="17" spans="2:20" ht="18" customHeight="1" x14ac:dyDescent="0.2">
      <c r="B17" s="7" t="s">
        <v>51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ht="21.75" customHeight="1" x14ac:dyDescent="0.2">
      <c r="B18" s="27" t="s">
        <v>52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22" t="s">
        <v>53</v>
      </c>
      <c r="S18" s="29"/>
      <c r="T18" s="27"/>
    </row>
    <row r="19" spans="2:20" ht="21.75" customHeight="1" x14ac:dyDescent="0.2">
      <c r="B19" s="24" t="s">
        <v>54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2" t="s">
        <v>53</v>
      </c>
      <c r="S19" s="26"/>
      <c r="T19" s="24"/>
    </row>
    <row r="20" spans="2:20" ht="21.75" customHeight="1" x14ac:dyDescent="0.2">
      <c r="B20" s="27" t="s">
        <v>55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22" t="s">
        <v>53</v>
      </c>
      <c r="S20" s="29"/>
      <c r="T20" s="27"/>
    </row>
    <row r="21" spans="2:20" ht="6" customHeight="1" x14ac:dyDescent="0.2"/>
    <row r="22" spans="2:20" ht="18" customHeight="1" x14ac:dyDescent="0.2">
      <c r="B22" s="7" t="s">
        <v>56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ht="21.75" customHeight="1" x14ac:dyDescent="0.2">
      <c r="B23" s="24" t="s">
        <v>57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2" t="s">
        <v>53</v>
      </c>
      <c r="S23" s="26"/>
      <c r="T23" s="24"/>
    </row>
    <row r="24" spans="2:20" ht="21.75" customHeight="1" x14ac:dyDescent="0.2">
      <c r="B24" s="27" t="s">
        <v>58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22" t="s">
        <v>59</v>
      </c>
      <c r="S24" s="29"/>
      <c r="T24" s="27"/>
    </row>
    <row r="25" spans="2:20" ht="21.75" customHeight="1" x14ac:dyDescent="0.2">
      <c r="B25" s="24" t="s">
        <v>60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2" t="s">
        <v>53</v>
      </c>
      <c r="S25" s="26"/>
      <c r="T25" s="24"/>
    </row>
    <row r="26" spans="2:20" ht="21.75" customHeight="1" x14ac:dyDescent="0.2">
      <c r="B26" s="27" t="s">
        <v>61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22" t="s">
        <v>53</v>
      </c>
      <c r="S26" s="29"/>
      <c r="T26" s="27"/>
    </row>
    <row r="27" spans="2:20" ht="21.75" customHeight="1" x14ac:dyDescent="0.2">
      <c r="B27" s="24" t="s">
        <v>62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2" t="s">
        <v>53</v>
      </c>
      <c r="S27" s="26"/>
      <c r="T27" s="24"/>
    </row>
    <row r="28" spans="2:20" ht="6" customHeight="1" x14ac:dyDescent="0.2"/>
    <row r="29" spans="2:20" ht="18" customHeight="1" x14ac:dyDescent="0.2">
      <c r="B29" s="7" t="s">
        <v>63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ht="21.75" customHeight="1" x14ac:dyDescent="0.2">
      <c r="B30" s="27" t="s">
        <v>64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2" t="s">
        <v>65</v>
      </c>
      <c r="S30" s="29"/>
      <c r="T30" s="27"/>
    </row>
    <row r="31" spans="2:20" ht="21.75" customHeight="1" x14ac:dyDescent="0.2">
      <c r="B31" s="24" t="s">
        <v>66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2" t="s">
        <v>65</v>
      </c>
      <c r="S31" s="26"/>
      <c r="T31" s="24"/>
    </row>
    <row r="32" spans="2:20" ht="21.75" customHeight="1" x14ac:dyDescent="0.2">
      <c r="B32" s="27" t="s">
        <v>67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22" t="s">
        <v>65</v>
      </c>
      <c r="S32" s="29"/>
      <c r="T32" s="27"/>
    </row>
    <row r="33" spans="2:20" ht="21.75" customHeight="1" x14ac:dyDescent="0.2">
      <c r="B33" s="24" t="s">
        <v>68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2" t="s">
        <v>69</v>
      </c>
      <c r="S33" s="26"/>
      <c r="T33" s="24"/>
    </row>
    <row r="34" spans="2:20" ht="12" customHeight="1" x14ac:dyDescent="0.2"/>
    <row r="35" spans="2:20" ht="21.75" customHeight="1" x14ac:dyDescent="0.2">
      <c r="B35" s="6" t="s">
        <v>70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2:20" ht="19.5" customHeight="1" x14ac:dyDescent="0.2">
      <c r="B36" s="23" t="s">
        <v>71</v>
      </c>
      <c r="C36" s="23" t="s">
        <v>72</v>
      </c>
      <c r="D36" s="23" t="s">
        <v>73</v>
      </c>
      <c r="E36" s="23" t="s">
        <v>74</v>
      </c>
      <c r="F36" s="5" t="s">
        <v>75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 ht="25.5" customHeight="1" x14ac:dyDescent="0.2">
      <c r="B37" s="34" t="s">
        <v>76</v>
      </c>
      <c r="C37" s="25" t="s">
        <v>77</v>
      </c>
      <c r="D37" s="35" t="s">
        <v>78</v>
      </c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2:20" ht="25.5" customHeight="1" x14ac:dyDescent="0.2">
      <c r="B38" s="36" t="s">
        <v>79</v>
      </c>
      <c r="C38" s="33" t="s">
        <v>80</v>
      </c>
      <c r="D38" s="37" t="s">
        <v>78</v>
      </c>
      <c r="E38" s="3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2:20" ht="25.5" customHeight="1" x14ac:dyDescent="0.2">
      <c r="B39" s="34" t="s">
        <v>81</v>
      </c>
      <c r="C39" s="25" t="s">
        <v>82</v>
      </c>
      <c r="D39" s="35" t="s">
        <v>78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2:20" ht="25.5" customHeight="1" x14ac:dyDescent="0.2">
      <c r="B40" s="38" t="s">
        <v>83</v>
      </c>
      <c r="C40" s="4"/>
      <c r="D40" s="4"/>
      <c r="E40" s="4"/>
      <c r="F40" s="4"/>
      <c r="G40" s="4"/>
      <c r="H40" s="4"/>
      <c r="I40" s="4"/>
      <c r="J40" s="38" t="s">
        <v>84</v>
      </c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mergeCells count="20">
    <mergeCell ref="F37:T37"/>
    <mergeCell ref="F38:T38"/>
    <mergeCell ref="F39:T39"/>
    <mergeCell ref="C40:I40"/>
    <mergeCell ref="K40:T40"/>
    <mergeCell ref="B17:T17"/>
    <mergeCell ref="B22:T22"/>
    <mergeCell ref="B29:T29"/>
    <mergeCell ref="B35:T35"/>
    <mergeCell ref="F36:T36"/>
    <mergeCell ref="C6:J6"/>
    <mergeCell ref="L6:T6"/>
    <mergeCell ref="C7:J7"/>
    <mergeCell ref="L7:T7"/>
    <mergeCell ref="B10:T10"/>
    <mergeCell ref="B2:T2"/>
    <mergeCell ref="C4:J4"/>
    <mergeCell ref="L4:T4"/>
    <mergeCell ref="C5:J5"/>
    <mergeCell ref="L5:T5"/>
  </mergeCells>
  <dataValidations count="1">
    <dataValidation type="list" allowBlank="1" sqref="C11:Q11 C30:Q33 C23:Q27 C18:Q20" xr:uid="{00000000-0002-0000-0100-000000000000}">
      <formula1>"S,N,NA"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0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2" customWidth="1"/>
    <col min="2" max="2" width="32" customWidth="1"/>
    <col min="3" max="18" width="7" customWidth="1"/>
    <col min="19" max="19" width="14" customWidth="1"/>
    <col min="20" max="20" width="18" customWidth="1"/>
  </cols>
  <sheetData>
    <row r="1" spans="2:20" ht="7.5" customHeight="1" x14ac:dyDescent="0.2"/>
    <row r="2" spans="2:20" ht="30" customHeight="1" x14ac:dyDescent="0.2">
      <c r="B2" s="2" t="s">
        <v>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ht="6" customHeight="1" x14ac:dyDescent="0.2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2:20" ht="19.5" customHeight="1" x14ac:dyDescent="0.2">
      <c r="B4" s="16" t="s">
        <v>2</v>
      </c>
      <c r="C4" s="8"/>
      <c r="D4" s="8"/>
      <c r="E4" s="8"/>
      <c r="F4" s="8"/>
      <c r="G4" s="8"/>
      <c r="H4" s="8"/>
      <c r="I4" s="8"/>
      <c r="J4" s="8"/>
      <c r="K4" s="18" t="s">
        <v>17</v>
      </c>
      <c r="L4" s="8"/>
      <c r="M4" s="8"/>
      <c r="N4" s="8"/>
      <c r="O4" s="8"/>
      <c r="P4" s="8"/>
      <c r="Q4" s="8"/>
      <c r="R4" s="8"/>
      <c r="S4" s="8"/>
      <c r="T4" s="8"/>
    </row>
    <row r="5" spans="2:20" ht="19.5" customHeight="1" x14ac:dyDescent="0.2">
      <c r="B5" s="16" t="s">
        <v>18</v>
      </c>
      <c r="C5" s="8"/>
      <c r="D5" s="8"/>
      <c r="E5" s="8"/>
      <c r="F5" s="8"/>
      <c r="G5" s="8"/>
      <c r="H5" s="8"/>
      <c r="I5" s="8"/>
      <c r="J5" s="8"/>
      <c r="K5" s="18" t="s">
        <v>19</v>
      </c>
      <c r="L5" s="8"/>
      <c r="M5" s="8"/>
      <c r="N5" s="8"/>
      <c r="O5" s="8"/>
      <c r="P5" s="8"/>
      <c r="Q5" s="8"/>
      <c r="R5" s="8"/>
      <c r="S5" s="8"/>
      <c r="T5" s="8"/>
    </row>
    <row r="6" spans="2:20" ht="19.5" customHeight="1" x14ac:dyDescent="0.2">
      <c r="B6" s="16" t="s">
        <v>5</v>
      </c>
      <c r="C6" s="8"/>
      <c r="D6" s="8"/>
      <c r="E6" s="8"/>
      <c r="F6" s="8"/>
      <c r="G6" s="8"/>
      <c r="H6" s="8"/>
      <c r="I6" s="8"/>
      <c r="J6" s="8"/>
      <c r="K6" s="18" t="s">
        <v>6</v>
      </c>
      <c r="L6" s="8"/>
      <c r="M6" s="8"/>
      <c r="N6" s="8"/>
      <c r="O6" s="8"/>
      <c r="P6" s="8"/>
      <c r="Q6" s="8"/>
      <c r="R6" s="8"/>
      <c r="S6" s="8"/>
      <c r="T6" s="8"/>
    </row>
    <row r="7" spans="2:20" ht="19.5" customHeight="1" x14ac:dyDescent="0.2">
      <c r="B7" s="16" t="s">
        <v>4</v>
      </c>
      <c r="C7" s="8"/>
      <c r="D7" s="8"/>
      <c r="E7" s="8"/>
      <c r="F7" s="8"/>
      <c r="G7" s="8"/>
      <c r="H7" s="8"/>
      <c r="I7" s="8"/>
      <c r="J7" s="8"/>
      <c r="K7" s="18" t="s">
        <v>20</v>
      </c>
      <c r="L7" s="8"/>
      <c r="M7" s="8"/>
      <c r="N7" s="8"/>
      <c r="O7" s="8"/>
      <c r="P7" s="8"/>
      <c r="Q7" s="8"/>
      <c r="R7" s="8"/>
      <c r="S7" s="8"/>
      <c r="T7" s="8"/>
    </row>
    <row r="8" spans="2:20" ht="7.5" customHeight="1" x14ac:dyDescent="0.2"/>
    <row r="9" spans="2:20" ht="27.75" customHeight="1" x14ac:dyDescent="0.2">
      <c r="B9" s="21" t="s">
        <v>21</v>
      </c>
      <c r="C9" s="39" t="s">
        <v>22</v>
      </c>
      <c r="D9" s="23" t="s">
        <v>23</v>
      </c>
      <c r="E9" s="39" t="s">
        <v>24</v>
      </c>
      <c r="F9" s="23" t="s">
        <v>25</v>
      </c>
      <c r="G9" s="39" t="s">
        <v>26</v>
      </c>
      <c r="H9" s="23" t="s">
        <v>27</v>
      </c>
      <c r="I9" s="39" t="s">
        <v>28</v>
      </c>
      <c r="J9" s="23" t="s">
        <v>29</v>
      </c>
      <c r="K9" s="39" t="s">
        <v>30</v>
      </c>
      <c r="L9" s="23" t="s">
        <v>31</v>
      </c>
      <c r="M9" s="39" t="s">
        <v>32</v>
      </c>
      <c r="N9" s="23" t="s">
        <v>33</v>
      </c>
      <c r="O9" s="39" t="s">
        <v>34</v>
      </c>
      <c r="P9" s="23" t="s">
        <v>35</v>
      </c>
      <c r="Q9" s="39" t="s">
        <v>36</v>
      </c>
      <c r="R9" s="21" t="s">
        <v>37</v>
      </c>
      <c r="S9" s="21" t="s">
        <v>38</v>
      </c>
      <c r="T9" s="21" t="s">
        <v>39</v>
      </c>
    </row>
    <row r="10" spans="2:20" ht="18" customHeight="1" x14ac:dyDescent="0.2">
      <c r="B10" s="7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21.75" customHeight="1" x14ac:dyDescent="0.2"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39" t="s">
        <v>42</v>
      </c>
      <c r="S11" s="26"/>
      <c r="T11" s="24"/>
    </row>
    <row r="12" spans="2:20" ht="21.75" customHeight="1" x14ac:dyDescent="0.2">
      <c r="B12" s="27" t="s">
        <v>43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39" t="s">
        <v>44</v>
      </c>
      <c r="S12" s="29"/>
      <c r="T12" s="27"/>
    </row>
    <row r="13" spans="2:20" ht="21.75" customHeight="1" x14ac:dyDescent="0.2">
      <c r="B13" s="24" t="s">
        <v>45</v>
      </c>
      <c r="C13" s="30">
        <f>SUM(C12:C12)</f>
        <v>0</v>
      </c>
      <c r="D13" s="30">
        <f>SUM(C12:D12)</f>
        <v>0</v>
      </c>
      <c r="E13" s="30">
        <f>SUM(C12:E12)</f>
        <v>0</v>
      </c>
      <c r="F13" s="30">
        <f>SUM(C12:F12)</f>
        <v>0</v>
      </c>
      <c r="G13" s="30">
        <f>SUM(C12:G12)</f>
        <v>0</v>
      </c>
      <c r="H13" s="30">
        <f>SUM(C12:H12)</f>
        <v>0</v>
      </c>
      <c r="I13" s="30">
        <f>SUM(C12:I12)</f>
        <v>0</v>
      </c>
      <c r="J13" s="30">
        <f>SUM(C12:J12)</f>
        <v>0</v>
      </c>
      <c r="K13" s="30">
        <f>SUM(C12:K12)</f>
        <v>0</v>
      </c>
      <c r="L13" s="30">
        <f>SUM(C12:L12)</f>
        <v>0</v>
      </c>
      <c r="M13" s="30">
        <f>SUM(C12:M12)</f>
        <v>0</v>
      </c>
      <c r="N13" s="30">
        <f>SUM(C12:N12)</f>
        <v>0</v>
      </c>
      <c r="O13" s="30">
        <f>SUM(C12:O12)</f>
        <v>0</v>
      </c>
      <c r="P13" s="30">
        <f>SUM(C12:P12)</f>
        <v>0</v>
      </c>
      <c r="Q13" s="30">
        <f>SUM(C12:Q12)</f>
        <v>0</v>
      </c>
      <c r="R13" s="39" t="s">
        <v>46</v>
      </c>
      <c r="S13" s="26" t="str">
        <f>IF(R13&gt;=18500,"✓","⚠")</f>
        <v>✓</v>
      </c>
      <c r="T13" s="24"/>
    </row>
    <row r="14" spans="2:20" ht="21.75" customHeight="1" x14ac:dyDescent="0.2">
      <c r="B14" s="27" t="s">
        <v>47</v>
      </c>
      <c r="C14" s="30">
        <f>IFERROR((18500-C13)/15,0)</f>
        <v>1233.3333333333333</v>
      </c>
      <c r="D14" s="30">
        <f>IFERROR((18500-D13)/14,0)</f>
        <v>1321.4285714285713</v>
      </c>
      <c r="E14" s="30">
        <f>IFERROR((18500-E13)/13,0)</f>
        <v>1423.0769230769231</v>
      </c>
      <c r="F14" s="30">
        <f>IFERROR((18500-F13)/12,0)</f>
        <v>1541.6666666666667</v>
      </c>
      <c r="G14" s="30">
        <f>IFERROR((18500-G13)/11,0)</f>
        <v>1681.8181818181818</v>
      </c>
      <c r="H14" s="30">
        <f>IFERROR((18500-H13)/10,0)</f>
        <v>1850</v>
      </c>
      <c r="I14" s="30">
        <f>IFERROR((18500-I13)/9,0)</f>
        <v>2055.5555555555557</v>
      </c>
      <c r="J14" s="30">
        <f>IFERROR((18500-J13)/8,0)</f>
        <v>2312.5</v>
      </c>
      <c r="K14" s="30">
        <f>IFERROR((18500-K13)/7,0)</f>
        <v>2642.8571428571427</v>
      </c>
      <c r="L14" s="30">
        <f>IFERROR((18500-L13)/6,0)</f>
        <v>3083.3333333333335</v>
      </c>
      <c r="M14" s="30">
        <f>IFERROR((18500-M13)/5,0)</f>
        <v>3700</v>
      </c>
      <c r="N14" s="30">
        <f>IFERROR((18500-N13)/4,0)</f>
        <v>4625</v>
      </c>
      <c r="O14" s="30">
        <f>IFERROR((18500-O13)/3,0)</f>
        <v>6166.666666666667</v>
      </c>
      <c r="P14" s="30">
        <f>IFERROR((18500-P13)/2,0)</f>
        <v>9250</v>
      </c>
      <c r="Q14" s="30">
        <f>IFERROR((18500-Q13)/1,0)</f>
        <v>18500</v>
      </c>
      <c r="R14" s="39" t="s">
        <v>48</v>
      </c>
      <c r="S14" s="29" t="str">
        <f>IF(P14&gt;1850,"⚠ ALERTA",IF(P14&gt;1233,"⚠ RIESGO","✓ OK"))</f>
        <v>⚠ ALERTA</v>
      </c>
      <c r="T14" s="27"/>
    </row>
    <row r="15" spans="2:20" ht="21.75" customHeight="1" x14ac:dyDescent="0.2">
      <c r="B15" s="24" t="s">
        <v>49</v>
      </c>
      <c r="C15" s="31">
        <f t="shared" ref="C15:Q15" si="0">IFERROR(C13/18500,0)</f>
        <v>0</v>
      </c>
      <c r="D15" s="31">
        <f t="shared" si="0"/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31">
        <f t="shared" si="0"/>
        <v>0</v>
      </c>
      <c r="Q15" s="31">
        <f t="shared" si="0"/>
        <v>0</v>
      </c>
      <c r="R15" s="40" t="s">
        <v>50</v>
      </c>
      <c r="S15" s="26" t="str">
        <f>IF(P15&gt;=1,"✓","⏳")</f>
        <v>⏳</v>
      </c>
      <c r="T15" s="24"/>
    </row>
    <row r="16" spans="2:20" ht="6" customHeight="1" x14ac:dyDescent="0.2"/>
    <row r="17" spans="2:20" ht="18" customHeight="1" x14ac:dyDescent="0.2">
      <c r="B17" s="7" t="s">
        <v>51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ht="21.75" customHeight="1" x14ac:dyDescent="0.2">
      <c r="B18" s="27" t="s">
        <v>52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9" t="s">
        <v>53</v>
      </c>
      <c r="S18" s="29"/>
      <c r="T18" s="27"/>
    </row>
    <row r="19" spans="2:20" ht="21.75" customHeight="1" x14ac:dyDescent="0.2">
      <c r="B19" s="24" t="s">
        <v>54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9" t="s">
        <v>53</v>
      </c>
      <c r="S19" s="26"/>
      <c r="T19" s="24"/>
    </row>
    <row r="20" spans="2:20" ht="21.75" customHeight="1" x14ac:dyDescent="0.2">
      <c r="B20" s="27" t="s">
        <v>55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9" t="s">
        <v>53</v>
      </c>
      <c r="S20" s="29"/>
      <c r="T20" s="27"/>
    </row>
    <row r="21" spans="2:20" ht="6" customHeight="1" x14ac:dyDescent="0.2"/>
    <row r="22" spans="2:20" ht="18" customHeight="1" x14ac:dyDescent="0.2">
      <c r="B22" s="7" t="s">
        <v>56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ht="21.75" customHeight="1" x14ac:dyDescent="0.2">
      <c r="B23" s="24" t="s">
        <v>57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39" t="s">
        <v>53</v>
      </c>
      <c r="S23" s="26"/>
      <c r="T23" s="24"/>
    </row>
    <row r="24" spans="2:20" ht="21.75" customHeight="1" x14ac:dyDescent="0.2">
      <c r="B24" s="27" t="s">
        <v>58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9" t="s">
        <v>59</v>
      </c>
      <c r="S24" s="29"/>
      <c r="T24" s="27"/>
    </row>
    <row r="25" spans="2:20" ht="21.75" customHeight="1" x14ac:dyDescent="0.2">
      <c r="B25" s="24" t="s">
        <v>60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39" t="s">
        <v>53</v>
      </c>
      <c r="S25" s="26"/>
      <c r="T25" s="24"/>
    </row>
    <row r="26" spans="2:20" ht="21.75" customHeight="1" x14ac:dyDescent="0.2">
      <c r="B26" s="27" t="s">
        <v>61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9" t="s">
        <v>53</v>
      </c>
      <c r="S26" s="29"/>
      <c r="T26" s="27"/>
    </row>
    <row r="27" spans="2:20" ht="21.75" customHeight="1" x14ac:dyDescent="0.2">
      <c r="B27" s="24" t="s">
        <v>62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39" t="s">
        <v>53</v>
      </c>
      <c r="S27" s="26"/>
      <c r="T27" s="24"/>
    </row>
    <row r="28" spans="2:20" ht="6" customHeight="1" x14ac:dyDescent="0.2"/>
    <row r="29" spans="2:20" ht="18" customHeight="1" x14ac:dyDescent="0.2">
      <c r="B29" s="7" t="s">
        <v>63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ht="21.75" customHeight="1" x14ac:dyDescent="0.2">
      <c r="B30" s="27" t="s">
        <v>64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9" t="s">
        <v>65</v>
      </c>
      <c r="S30" s="29"/>
      <c r="T30" s="27"/>
    </row>
    <row r="31" spans="2:20" ht="21.75" customHeight="1" x14ac:dyDescent="0.2">
      <c r="B31" s="24" t="s">
        <v>66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9" t="s">
        <v>65</v>
      </c>
      <c r="S31" s="26"/>
      <c r="T31" s="24"/>
    </row>
    <row r="32" spans="2:20" ht="21.75" customHeight="1" x14ac:dyDescent="0.2">
      <c r="B32" s="27" t="s">
        <v>67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9" t="s">
        <v>65</v>
      </c>
      <c r="S32" s="29"/>
      <c r="T32" s="27"/>
    </row>
    <row r="33" spans="2:20" ht="21.75" customHeight="1" x14ac:dyDescent="0.2">
      <c r="B33" s="24" t="s">
        <v>68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39" t="s">
        <v>69</v>
      </c>
      <c r="S33" s="26"/>
      <c r="T33" s="24"/>
    </row>
    <row r="34" spans="2:20" ht="12" customHeight="1" x14ac:dyDescent="0.2"/>
    <row r="35" spans="2:20" ht="21.75" customHeight="1" x14ac:dyDescent="0.2">
      <c r="B35" s="1" t="s">
        <v>70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ht="19.5" customHeight="1" x14ac:dyDescent="0.2">
      <c r="B36" s="23" t="s">
        <v>71</v>
      </c>
      <c r="C36" s="23" t="s">
        <v>72</v>
      </c>
      <c r="D36" s="23" t="s">
        <v>73</v>
      </c>
      <c r="E36" s="23" t="s">
        <v>74</v>
      </c>
      <c r="F36" s="5" t="s">
        <v>75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 ht="25.5" customHeight="1" x14ac:dyDescent="0.2">
      <c r="B37" s="34" t="s">
        <v>76</v>
      </c>
      <c r="C37" s="25" t="s">
        <v>77</v>
      </c>
      <c r="D37" s="35" t="s">
        <v>78</v>
      </c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2:20" ht="25.5" customHeight="1" x14ac:dyDescent="0.2">
      <c r="B38" s="36" t="s">
        <v>79</v>
      </c>
      <c r="C38" s="33" t="s">
        <v>80</v>
      </c>
      <c r="D38" s="37" t="s">
        <v>78</v>
      </c>
      <c r="E38" s="3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2:20" ht="25.5" customHeight="1" x14ac:dyDescent="0.2">
      <c r="B39" s="34" t="s">
        <v>81</v>
      </c>
      <c r="C39" s="25" t="s">
        <v>82</v>
      </c>
      <c r="D39" s="35" t="s">
        <v>78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2:20" ht="25.5" customHeight="1" x14ac:dyDescent="0.2">
      <c r="B40" s="38" t="s">
        <v>83</v>
      </c>
      <c r="C40" s="4"/>
      <c r="D40" s="4"/>
      <c r="E40" s="4"/>
      <c r="F40" s="4"/>
      <c r="G40" s="4"/>
      <c r="H40" s="4"/>
      <c r="I40" s="4"/>
      <c r="J40" s="38" t="s">
        <v>84</v>
      </c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mergeCells count="20">
    <mergeCell ref="F37:T37"/>
    <mergeCell ref="F38:T38"/>
    <mergeCell ref="F39:T39"/>
    <mergeCell ref="C40:I40"/>
    <mergeCell ref="K40:T40"/>
    <mergeCell ref="B17:T17"/>
    <mergeCell ref="B22:T22"/>
    <mergeCell ref="B29:T29"/>
    <mergeCell ref="B35:T35"/>
    <mergeCell ref="F36:T36"/>
    <mergeCell ref="C6:J6"/>
    <mergeCell ref="L6:T6"/>
    <mergeCell ref="C7:J7"/>
    <mergeCell ref="L7:T7"/>
    <mergeCell ref="B10:T10"/>
    <mergeCell ref="B2:T2"/>
    <mergeCell ref="C4:J4"/>
    <mergeCell ref="L4:T4"/>
    <mergeCell ref="C5:J5"/>
    <mergeCell ref="L5:T5"/>
  </mergeCells>
  <dataValidations count="1">
    <dataValidation type="list" allowBlank="1" sqref="C11:Q11 C30:Q33 C23:Q27 C18:Q20" xr:uid="{00000000-0002-0000-0200-000000000000}">
      <formula1>"S,N,NA"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0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2" customWidth="1"/>
    <col min="2" max="2" width="32" customWidth="1"/>
    <col min="3" max="18" width="7" customWidth="1"/>
    <col min="19" max="19" width="14" customWidth="1"/>
    <col min="20" max="20" width="18" customWidth="1"/>
  </cols>
  <sheetData>
    <row r="1" spans="2:20" ht="7.5" customHeight="1" x14ac:dyDescent="0.2"/>
    <row r="2" spans="2:20" ht="30" customHeight="1" x14ac:dyDescent="0.2">
      <c r="B2" s="54" t="s">
        <v>86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2:20" ht="6" customHeight="1" x14ac:dyDescent="0.2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2:20" ht="19.5" customHeight="1" x14ac:dyDescent="0.2">
      <c r="B4" s="16" t="s">
        <v>2</v>
      </c>
      <c r="C4" s="8"/>
      <c r="D4" s="8"/>
      <c r="E4" s="8"/>
      <c r="F4" s="8"/>
      <c r="G4" s="8"/>
      <c r="H4" s="8"/>
      <c r="I4" s="8"/>
      <c r="J4" s="8"/>
      <c r="K4" s="16" t="s">
        <v>17</v>
      </c>
      <c r="L4" s="8"/>
      <c r="M4" s="8"/>
      <c r="N4" s="8"/>
      <c r="O4" s="8"/>
      <c r="P4" s="8"/>
      <c r="Q4" s="8"/>
      <c r="R4" s="8"/>
      <c r="S4" s="8"/>
      <c r="T4" s="8"/>
    </row>
    <row r="5" spans="2:20" ht="19.5" customHeight="1" x14ac:dyDescent="0.2">
      <c r="B5" s="16" t="s">
        <v>18</v>
      </c>
      <c r="C5" s="8"/>
      <c r="D5" s="8"/>
      <c r="E5" s="8"/>
      <c r="F5" s="8"/>
      <c r="G5" s="8"/>
      <c r="H5" s="8"/>
      <c r="I5" s="8"/>
      <c r="J5" s="8"/>
      <c r="K5" s="16" t="s">
        <v>19</v>
      </c>
      <c r="L5" s="8"/>
      <c r="M5" s="8"/>
      <c r="N5" s="8"/>
      <c r="O5" s="8"/>
      <c r="P5" s="8"/>
      <c r="Q5" s="8"/>
      <c r="R5" s="8"/>
      <c r="S5" s="8"/>
      <c r="T5" s="8"/>
    </row>
    <row r="6" spans="2:20" ht="19.5" customHeight="1" x14ac:dyDescent="0.2">
      <c r="B6" s="16" t="s">
        <v>5</v>
      </c>
      <c r="C6" s="8"/>
      <c r="D6" s="8"/>
      <c r="E6" s="8"/>
      <c r="F6" s="8"/>
      <c r="G6" s="8"/>
      <c r="H6" s="8"/>
      <c r="I6" s="8"/>
      <c r="J6" s="8"/>
      <c r="K6" s="16" t="s">
        <v>6</v>
      </c>
      <c r="L6" s="8"/>
      <c r="M6" s="8"/>
      <c r="N6" s="8"/>
      <c r="O6" s="8"/>
      <c r="P6" s="8"/>
      <c r="Q6" s="8"/>
      <c r="R6" s="8"/>
      <c r="S6" s="8"/>
      <c r="T6" s="8"/>
    </row>
    <row r="7" spans="2:20" ht="19.5" customHeight="1" x14ac:dyDescent="0.2">
      <c r="B7" s="16" t="s">
        <v>4</v>
      </c>
      <c r="C7" s="8"/>
      <c r="D7" s="8"/>
      <c r="E7" s="8"/>
      <c r="F7" s="8"/>
      <c r="G7" s="8"/>
      <c r="H7" s="8"/>
      <c r="I7" s="8"/>
      <c r="J7" s="8"/>
      <c r="K7" s="16" t="s">
        <v>20</v>
      </c>
      <c r="L7" s="8"/>
      <c r="M7" s="8"/>
      <c r="N7" s="8"/>
      <c r="O7" s="8"/>
      <c r="P7" s="8"/>
      <c r="Q7" s="8"/>
      <c r="R7" s="8"/>
      <c r="S7" s="8"/>
      <c r="T7" s="8"/>
    </row>
    <row r="8" spans="2:20" ht="7.5" customHeight="1" x14ac:dyDescent="0.2"/>
    <row r="9" spans="2:20" ht="27.75" customHeight="1" x14ac:dyDescent="0.2">
      <c r="B9" s="21" t="s">
        <v>21</v>
      </c>
      <c r="C9" s="23" t="s">
        <v>22</v>
      </c>
      <c r="D9" s="23" t="s">
        <v>23</v>
      </c>
      <c r="E9" s="23" t="s">
        <v>24</v>
      </c>
      <c r="F9" s="23" t="s">
        <v>25</v>
      </c>
      <c r="G9" s="23" t="s">
        <v>26</v>
      </c>
      <c r="H9" s="23" t="s">
        <v>27</v>
      </c>
      <c r="I9" s="23" t="s">
        <v>28</v>
      </c>
      <c r="J9" s="23" t="s">
        <v>29</v>
      </c>
      <c r="K9" s="23" t="s">
        <v>30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35</v>
      </c>
      <c r="Q9" s="23" t="s">
        <v>36</v>
      </c>
      <c r="R9" s="21" t="s">
        <v>37</v>
      </c>
      <c r="S9" s="21" t="s">
        <v>38</v>
      </c>
      <c r="T9" s="21" t="s">
        <v>39</v>
      </c>
    </row>
    <row r="10" spans="2:20" ht="18" customHeight="1" x14ac:dyDescent="0.2">
      <c r="B10" s="7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21.75" customHeight="1" x14ac:dyDescent="0.2"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3" t="s">
        <v>42</v>
      </c>
      <c r="S11" s="26"/>
      <c r="T11" s="24"/>
    </row>
    <row r="12" spans="2:20" ht="21.75" customHeight="1" x14ac:dyDescent="0.2">
      <c r="B12" s="27" t="s">
        <v>43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3" t="s">
        <v>44</v>
      </c>
      <c r="S12" s="29"/>
      <c r="T12" s="27"/>
    </row>
    <row r="13" spans="2:20" ht="21.75" customHeight="1" x14ac:dyDescent="0.2">
      <c r="B13" s="24" t="s">
        <v>45</v>
      </c>
      <c r="C13" s="30">
        <f>SUM(C12:C12)</f>
        <v>0</v>
      </c>
      <c r="D13" s="30">
        <f>SUM(C12:D12)</f>
        <v>0</v>
      </c>
      <c r="E13" s="30">
        <f>SUM(C12:E12)</f>
        <v>0</v>
      </c>
      <c r="F13" s="30">
        <f>SUM(C12:F12)</f>
        <v>0</v>
      </c>
      <c r="G13" s="30">
        <f>SUM(C12:G12)</f>
        <v>0</v>
      </c>
      <c r="H13" s="30">
        <f>SUM(C12:H12)</f>
        <v>0</v>
      </c>
      <c r="I13" s="30">
        <f>SUM(C12:I12)</f>
        <v>0</v>
      </c>
      <c r="J13" s="30">
        <f>SUM(C12:J12)</f>
        <v>0</v>
      </c>
      <c r="K13" s="30">
        <f>SUM(C12:K12)</f>
        <v>0</v>
      </c>
      <c r="L13" s="30">
        <f>SUM(C12:L12)</f>
        <v>0</v>
      </c>
      <c r="M13" s="30">
        <f>SUM(C12:M12)</f>
        <v>0</v>
      </c>
      <c r="N13" s="30">
        <f>SUM(C12:N12)</f>
        <v>0</v>
      </c>
      <c r="O13" s="30">
        <f>SUM(C12:O12)</f>
        <v>0</v>
      </c>
      <c r="P13" s="30">
        <f>SUM(C12:P12)</f>
        <v>0</v>
      </c>
      <c r="Q13" s="30">
        <f>SUM(C12:Q12)</f>
        <v>0</v>
      </c>
      <c r="R13" s="23" t="s">
        <v>46</v>
      </c>
      <c r="S13" s="26" t="str">
        <f>IF(R13&gt;=18500,"✓","⚠")</f>
        <v>✓</v>
      </c>
      <c r="T13" s="24"/>
    </row>
    <row r="14" spans="2:20" ht="21.75" customHeight="1" x14ac:dyDescent="0.2">
      <c r="B14" s="27" t="s">
        <v>47</v>
      </c>
      <c r="C14" s="30">
        <f>IFERROR((18500-C13)/15,0)</f>
        <v>1233.3333333333333</v>
      </c>
      <c r="D14" s="30">
        <f>IFERROR((18500-D13)/14,0)</f>
        <v>1321.4285714285713</v>
      </c>
      <c r="E14" s="30">
        <f>IFERROR((18500-E13)/13,0)</f>
        <v>1423.0769230769231</v>
      </c>
      <c r="F14" s="30">
        <f>IFERROR((18500-F13)/12,0)</f>
        <v>1541.6666666666667</v>
      </c>
      <c r="G14" s="30">
        <f>IFERROR((18500-G13)/11,0)</f>
        <v>1681.8181818181818</v>
      </c>
      <c r="H14" s="30">
        <f>IFERROR((18500-H13)/10,0)</f>
        <v>1850</v>
      </c>
      <c r="I14" s="30">
        <f>IFERROR((18500-I13)/9,0)</f>
        <v>2055.5555555555557</v>
      </c>
      <c r="J14" s="30">
        <f>IFERROR((18500-J13)/8,0)</f>
        <v>2312.5</v>
      </c>
      <c r="K14" s="30">
        <f>IFERROR((18500-K13)/7,0)</f>
        <v>2642.8571428571427</v>
      </c>
      <c r="L14" s="30">
        <f>IFERROR((18500-L13)/6,0)</f>
        <v>3083.3333333333335</v>
      </c>
      <c r="M14" s="30">
        <f>IFERROR((18500-M13)/5,0)</f>
        <v>3700</v>
      </c>
      <c r="N14" s="30">
        <f>IFERROR((18500-N13)/4,0)</f>
        <v>4625</v>
      </c>
      <c r="O14" s="30">
        <f>IFERROR((18500-O13)/3,0)</f>
        <v>6166.666666666667</v>
      </c>
      <c r="P14" s="30">
        <f>IFERROR((18500-P13)/2,0)</f>
        <v>9250</v>
      </c>
      <c r="Q14" s="30">
        <f>IFERROR((18500-Q13)/1,0)</f>
        <v>18500</v>
      </c>
      <c r="R14" s="23" t="s">
        <v>48</v>
      </c>
      <c r="S14" s="29" t="str">
        <f>IF(P14&gt;1850,"⚠ ALERTA",IF(P14&gt;1233,"⚠ RIESGO","✓ OK"))</f>
        <v>⚠ ALERTA</v>
      </c>
      <c r="T14" s="27"/>
    </row>
    <row r="15" spans="2:20" ht="21.75" customHeight="1" x14ac:dyDescent="0.2">
      <c r="B15" s="24" t="s">
        <v>49</v>
      </c>
      <c r="C15" s="31">
        <f t="shared" ref="C15:Q15" si="0">IFERROR(C13/18500,0)</f>
        <v>0</v>
      </c>
      <c r="D15" s="31">
        <f t="shared" si="0"/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31">
        <f t="shared" si="0"/>
        <v>0</v>
      </c>
      <c r="Q15" s="31">
        <f t="shared" si="0"/>
        <v>0</v>
      </c>
      <c r="R15" s="41" t="s">
        <v>50</v>
      </c>
      <c r="S15" s="26" t="str">
        <f>IF(P15&gt;=1,"✓","⏳")</f>
        <v>⏳</v>
      </c>
      <c r="T15" s="24"/>
    </row>
    <row r="16" spans="2:20" ht="6" customHeight="1" x14ac:dyDescent="0.2"/>
    <row r="17" spans="2:20" ht="18" customHeight="1" x14ac:dyDescent="0.2">
      <c r="B17" s="7" t="s">
        <v>51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ht="21.75" customHeight="1" x14ac:dyDescent="0.2">
      <c r="B18" s="27" t="s">
        <v>52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23" t="s">
        <v>53</v>
      </c>
      <c r="S18" s="29"/>
      <c r="T18" s="27"/>
    </row>
    <row r="19" spans="2:20" ht="21.75" customHeight="1" x14ac:dyDescent="0.2">
      <c r="B19" s="24" t="s">
        <v>54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3" t="s">
        <v>53</v>
      </c>
      <c r="S19" s="26"/>
      <c r="T19" s="24"/>
    </row>
    <row r="20" spans="2:20" ht="21.75" customHeight="1" x14ac:dyDescent="0.2">
      <c r="B20" s="27" t="s">
        <v>55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23" t="s">
        <v>53</v>
      </c>
      <c r="S20" s="29"/>
      <c r="T20" s="27"/>
    </row>
    <row r="21" spans="2:20" ht="6" customHeight="1" x14ac:dyDescent="0.2"/>
    <row r="22" spans="2:20" ht="18" customHeight="1" x14ac:dyDescent="0.2">
      <c r="B22" s="7" t="s">
        <v>56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ht="21.75" customHeight="1" x14ac:dyDescent="0.2">
      <c r="B23" s="24" t="s">
        <v>57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3" t="s">
        <v>53</v>
      </c>
      <c r="S23" s="26"/>
      <c r="T23" s="24"/>
    </row>
    <row r="24" spans="2:20" ht="21.75" customHeight="1" x14ac:dyDescent="0.2">
      <c r="B24" s="27" t="s">
        <v>58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23" t="s">
        <v>59</v>
      </c>
      <c r="S24" s="29"/>
      <c r="T24" s="27"/>
    </row>
    <row r="25" spans="2:20" ht="21.75" customHeight="1" x14ac:dyDescent="0.2">
      <c r="B25" s="24" t="s">
        <v>60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3" t="s">
        <v>53</v>
      </c>
      <c r="S25" s="26"/>
      <c r="T25" s="24"/>
    </row>
    <row r="26" spans="2:20" ht="21.75" customHeight="1" x14ac:dyDescent="0.2">
      <c r="B26" s="27" t="s">
        <v>61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23" t="s">
        <v>53</v>
      </c>
      <c r="S26" s="29"/>
      <c r="T26" s="27"/>
    </row>
    <row r="27" spans="2:20" ht="21.75" customHeight="1" x14ac:dyDescent="0.2">
      <c r="B27" s="24" t="s">
        <v>62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3" t="s">
        <v>53</v>
      </c>
      <c r="S27" s="26"/>
      <c r="T27" s="24"/>
    </row>
    <row r="28" spans="2:20" ht="6" customHeight="1" x14ac:dyDescent="0.2"/>
    <row r="29" spans="2:20" ht="18" customHeight="1" x14ac:dyDescent="0.2">
      <c r="B29" s="7" t="s">
        <v>63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ht="21.75" customHeight="1" x14ac:dyDescent="0.2">
      <c r="B30" s="27" t="s">
        <v>64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3" t="s">
        <v>65</v>
      </c>
      <c r="S30" s="29"/>
      <c r="T30" s="27"/>
    </row>
    <row r="31" spans="2:20" ht="21.75" customHeight="1" x14ac:dyDescent="0.2">
      <c r="B31" s="24" t="s">
        <v>66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3" t="s">
        <v>65</v>
      </c>
      <c r="S31" s="26"/>
      <c r="T31" s="24"/>
    </row>
    <row r="32" spans="2:20" ht="21.75" customHeight="1" x14ac:dyDescent="0.2">
      <c r="B32" s="27" t="s">
        <v>67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23" t="s">
        <v>65</v>
      </c>
      <c r="S32" s="29"/>
      <c r="T32" s="27"/>
    </row>
    <row r="33" spans="2:20" ht="21.75" customHeight="1" x14ac:dyDescent="0.2">
      <c r="B33" s="24" t="s">
        <v>68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3" t="s">
        <v>69</v>
      </c>
      <c r="S33" s="26"/>
      <c r="T33" s="24"/>
    </row>
    <row r="34" spans="2:20" ht="12" customHeight="1" x14ac:dyDescent="0.2"/>
    <row r="35" spans="2:20" ht="21.75" customHeight="1" x14ac:dyDescent="0.2">
      <c r="B35" s="55" t="s">
        <v>70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</row>
    <row r="36" spans="2:20" ht="19.5" customHeight="1" x14ac:dyDescent="0.2">
      <c r="B36" s="23" t="s">
        <v>71</v>
      </c>
      <c r="C36" s="23" t="s">
        <v>72</v>
      </c>
      <c r="D36" s="23" t="s">
        <v>73</v>
      </c>
      <c r="E36" s="23" t="s">
        <v>74</v>
      </c>
      <c r="F36" s="5" t="s">
        <v>75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 ht="25.5" customHeight="1" x14ac:dyDescent="0.2">
      <c r="B37" s="34" t="s">
        <v>76</v>
      </c>
      <c r="C37" s="25" t="s">
        <v>77</v>
      </c>
      <c r="D37" s="35" t="s">
        <v>78</v>
      </c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2:20" ht="25.5" customHeight="1" x14ac:dyDescent="0.2">
      <c r="B38" s="36" t="s">
        <v>79</v>
      </c>
      <c r="C38" s="33" t="s">
        <v>80</v>
      </c>
      <c r="D38" s="37" t="s">
        <v>78</v>
      </c>
      <c r="E38" s="3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2:20" ht="25.5" customHeight="1" x14ac:dyDescent="0.2">
      <c r="B39" s="34" t="s">
        <v>81</v>
      </c>
      <c r="C39" s="25" t="s">
        <v>82</v>
      </c>
      <c r="D39" s="35" t="s">
        <v>78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2:20" ht="25.5" customHeight="1" x14ac:dyDescent="0.2">
      <c r="B40" s="38" t="s">
        <v>83</v>
      </c>
      <c r="C40" s="4"/>
      <c r="D40" s="4"/>
      <c r="E40" s="4"/>
      <c r="F40" s="4"/>
      <c r="G40" s="4"/>
      <c r="H40" s="4"/>
      <c r="I40" s="4"/>
      <c r="J40" s="38" t="s">
        <v>84</v>
      </c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mergeCells count="20">
    <mergeCell ref="F37:T37"/>
    <mergeCell ref="F38:T38"/>
    <mergeCell ref="F39:T39"/>
    <mergeCell ref="C40:I40"/>
    <mergeCell ref="K40:T40"/>
    <mergeCell ref="B17:T17"/>
    <mergeCell ref="B22:T22"/>
    <mergeCell ref="B29:T29"/>
    <mergeCell ref="B35:T35"/>
    <mergeCell ref="F36:T36"/>
    <mergeCell ref="C6:J6"/>
    <mergeCell ref="L6:T6"/>
    <mergeCell ref="C7:J7"/>
    <mergeCell ref="L7:T7"/>
    <mergeCell ref="B10:T10"/>
    <mergeCell ref="B2:T2"/>
    <mergeCell ref="C4:J4"/>
    <mergeCell ref="L4:T4"/>
    <mergeCell ref="C5:J5"/>
    <mergeCell ref="L5:T5"/>
  </mergeCells>
  <dataValidations count="1">
    <dataValidation type="list" allowBlank="1" sqref="C11:Q11 C30:Q33 C23:Q27 C18:Q20" xr:uid="{00000000-0002-0000-0300-000000000000}">
      <formula1>"S,N,NA"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8"/>
  <sheetViews>
    <sheetView showGridLines="0" zoomScaleNormal="100" workbookViewId="0">
      <selection activeCell="C16" sqref="C16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3" width="20.5" bestFit="1" customWidth="1"/>
    <col min="4" max="7" width="18" customWidth="1"/>
  </cols>
  <sheetData>
    <row r="1" spans="2:7" ht="7.5" customHeight="1" x14ac:dyDescent="0.2"/>
    <row r="2" spans="2:7" ht="30" customHeight="1" x14ac:dyDescent="0.2">
      <c r="B2" s="54" t="s">
        <v>87</v>
      </c>
      <c r="C2" s="54"/>
      <c r="D2" s="54"/>
      <c r="E2" s="54"/>
      <c r="F2" s="54"/>
      <c r="G2" s="54"/>
    </row>
    <row r="3" spans="2:7" ht="6" customHeight="1" x14ac:dyDescent="0.2">
      <c r="B3" s="19"/>
      <c r="C3" s="19"/>
      <c r="D3" s="19"/>
      <c r="E3" s="19"/>
      <c r="F3" s="19"/>
      <c r="G3" s="19"/>
    </row>
    <row r="4" spans="2:7" ht="19.5" customHeight="1" x14ac:dyDescent="0.2">
      <c r="B4" s="21" t="s">
        <v>88</v>
      </c>
      <c r="C4" s="21" t="s">
        <v>89</v>
      </c>
      <c r="D4" s="21" t="s">
        <v>90</v>
      </c>
      <c r="E4" s="21" t="s">
        <v>91</v>
      </c>
      <c r="F4" s="21" t="s">
        <v>92</v>
      </c>
      <c r="G4" s="21" t="s">
        <v>93</v>
      </c>
    </row>
    <row r="5" spans="2:7" ht="25.5" customHeight="1" x14ac:dyDescent="0.2">
      <c r="B5" s="42" t="s">
        <v>94</v>
      </c>
      <c r="C5" s="17" t="s">
        <v>95</v>
      </c>
      <c r="D5" s="43">
        <f>IFERROR('HORNO 1'!P14,0)</f>
        <v>9250</v>
      </c>
      <c r="E5" s="44">
        <f>IFERROR('HORNO 1'!P15,0)</f>
        <v>0</v>
      </c>
      <c r="F5" s="45" t="str">
        <f>IF('HORNO 1'!P14&gt;=18500,"✓ CERRADO","⏳ EN CURSO")</f>
        <v>⏳ EN CURSO</v>
      </c>
      <c r="G5" s="17"/>
    </row>
    <row r="6" spans="2:7" ht="25.5" customHeight="1" x14ac:dyDescent="0.2">
      <c r="B6" s="46" t="s">
        <v>96</v>
      </c>
      <c r="C6" s="47" t="s">
        <v>97</v>
      </c>
      <c r="D6" s="48">
        <f>IFERROR('HORNO 2'!P14,0)</f>
        <v>9250</v>
      </c>
      <c r="E6" s="49">
        <f>IFERROR('HORNO 2'!P15,0)</f>
        <v>0</v>
      </c>
      <c r="F6" s="50" t="str">
        <f>IF('HORNO 2'!P14&gt;=18500,"✓ CERRADO","⏳ EN CURSO")</f>
        <v>⏳ EN CURSO</v>
      </c>
      <c r="G6" s="47"/>
    </row>
    <row r="7" spans="2:7" ht="25.5" customHeight="1" x14ac:dyDescent="0.2">
      <c r="B7" s="21" t="s">
        <v>98</v>
      </c>
      <c r="C7" s="17" t="s">
        <v>99</v>
      </c>
      <c r="D7" s="43">
        <f>IFERROR('HORNO 3'!P14,0)</f>
        <v>9250</v>
      </c>
      <c r="E7" s="44">
        <f>IFERROR('HORNO 3'!P15,0)</f>
        <v>0</v>
      </c>
      <c r="F7" s="45" t="str">
        <f>IF('HORNO 3'!P14&gt;=18500,"✓ CERRADO","⏳ EN CURSO")</f>
        <v>⏳ EN CURSO</v>
      </c>
      <c r="G7" s="17"/>
    </row>
    <row r="8" spans="2:7" ht="24" customHeight="1" x14ac:dyDescent="0.2">
      <c r="B8" s="42" t="s">
        <v>100</v>
      </c>
      <c r="C8" s="42" t="s">
        <v>101</v>
      </c>
      <c r="D8" s="51">
        <f>SUM(D5:D7)</f>
        <v>27750</v>
      </c>
      <c r="E8" s="52">
        <f>IFERROR(D8/55500,0)</f>
        <v>0.5</v>
      </c>
      <c r="F8" s="42" t="str">
        <f>IF(D8&gt;=55500,"✓ BATCH COMPLETO","⚠ INCOMPLETO")</f>
        <v>⚠ INCOMPLETO</v>
      </c>
      <c r="G8" s="53"/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HORNO 1</vt:lpstr>
      <vt:lpstr>HORNO 2</vt:lpstr>
      <vt:lpstr>HORNO 3</vt:lpstr>
      <vt:lpstr>RESUMEN BACHE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de Negocios Verdes</cp:lastModifiedBy>
  <cp:revision>0</cp:revision>
  <dcterms:created xsi:type="dcterms:W3CDTF">2026-03-05T13:55:21Z</dcterms:created>
  <dcterms:modified xsi:type="dcterms:W3CDTF">2026-03-05T14:16:42Z</dcterms:modified>
  <dc:language>en-US</dc:language>
</cp:coreProperties>
</file>